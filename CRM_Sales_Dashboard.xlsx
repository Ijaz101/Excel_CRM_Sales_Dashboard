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57e8619fe818f8d/Desktop/CRM_Sales_Dashboard/"/>
    </mc:Choice>
  </mc:AlternateContent>
  <xr:revisionPtr revIDLastSave="1355" documentId="11_F25DC773A252ABDACC10488A495952BA5ADE58EB" xr6:coauthVersionLast="47" xr6:coauthVersionMax="47" xr10:uidLastSave="{6968F8EC-5442-4301-830A-2EDBB4CA41AF}"/>
  <bookViews>
    <workbookView xWindow="-108" yWindow="-108" windowWidth="23256" windowHeight="12456" xr2:uid="{00000000-000D-0000-FFFF-FFFF00000000}"/>
  </bookViews>
  <sheets>
    <sheet name="Dashboard" sheetId="3" r:id="rId1"/>
    <sheet name="PivotTables" sheetId="2" r:id="rId2"/>
  </sheets>
  <definedNames>
    <definedName name="Slicer_Month_Sort">#N/A</definedName>
    <definedName name="Slicer_regional_offic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8ab913a9-c4de-40c2-911e-481d09c14d1f" name="Accounts" connection="Query - Accounts"/>
          <x15:modelTable id="Products_d17db57b-2b54-4e02-9931-7c8b88c929b5" name="Products" connection="Query - Products"/>
          <x15:modelTable id="Sales_Pipeline_de366637-e52c-49c6-95ab-8f6cbb27561d" name="Sales_Pipeline" connection="Query - Sales_Pipeline"/>
          <x15:modelTable id="Sales_Team_106af9dc-6dca-432c-8b11-036d5ed91157" name="Sales_Team" connection="Query - Sales_Team"/>
          <x15:modelTable id="Date_516b0b1f-5ad3-465e-b6b0-67c4aa8ba9fe" name="Date" connection="Query - Date"/>
        </x15:modelTables>
        <x15:modelRelationships>
          <x15:modelRelationship fromTable="Sales_Pipeline" fromColumn="account" toTable="Accounts" toColumn="account"/>
          <x15:modelRelationship fromTable="Sales_Pipeline" fromColumn="product" toTable="Products" toColumn="product"/>
          <x15:modelRelationship fromTable="Sales_Pipeline" fromColumn="sales_agent" toTable="Sales_Team" toColumn="sales_agent"/>
          <x15:modelRelationship fromTable="Sales_Pipeline" fromColumn="close_date" toTable="Date" toColumn="Date"/>
        </x15:modelRelationships>
        <x15:extLst>
          <ext xmlns:x16="http://schemas.microsoft.com/office/spreadsheetml/2014/11/main" uri="{9835A34E-60A6-4A7C-AAB8-D5F71C897F49}">
            <x16:modelTimeGroupings>
              <x16:modelTimeGrouping tableName="Sales_Pipeline" columnName="close_date" columnId="close_date">
                <x16:calculatedTimeColumn columnName="close_date (Month Index)" columnId="close_date (Month Index)" contentType="monthsindex" isSelected="1"/>
                <x16:calculatedTimeColumn columnName="close_date (Month)" columnId="clo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 i="3" l="1"/>
  <c r="O24" i="3"/>
  <c r="P24" i="3"/>
  <c r="Q24" i="3"/>
  <c r="S24" i="3"/>
  <c r="N25" i="3"/>
  <c r="O25" i="3"/>
  <c r="P25" i="3"/>
  <c r="Q25" i="3"/>
  <c r="R25" i="3"/>
  <c r="S25" i="3"/>
  <c r="N26" i="3"/>
  <c r="O26" i="3"/>
  <c r="P26" i="3"/>
  <c r="Q26" i="3"/>
  <c r="R26" i="3"/>
  <c r="S26" i="3"/>
  <c r="N27" i="3"/>
  <c r="O27" i="3"/>
  <c r="P27" i="3"/>
  <c r="Q27" i="3"/>
  <c r="R27" i="3"/>
  <c r="S27" i="3"/>
  <c r="N28" i="3"/>
  <c r="O28" i="3"/>
  <c r="P28" i="3"/>
  <c r="Q28" i="3"/>
  <c r="R28" i="3"/>
  <c r="S28" i="3"/>
  <c r="N29" i="3"/>
  <c r="O29" i="3"/>
  <c r="P29" i="3"/>
  <c r="Q29" i="3"/>
  <c r="R29" i="3"/>
  <c r="S29" i="3"/>
  <c r="N30" i="3"/>
  <c r="O30" i="3"/>
  <c r="P30" i="3"/>
  <c r="Q30" i="3"/>
  <c r="R30" i="3"/>
  <c r="S30" i="3"/>
  <c r="N31" i="3"/>
  <c r="O31" i="3"/>
  <c r="P31" i="3"/>
  <c r="Q31" i="3"/>
  <c r="R31" i="3"/>
  <c r="S31" i="3"/>
  <c r="N32" i="3"/>
  <c r="O32" i="3"/>
  <c r="P32" i="3"/>
  <c r="Q32" i="3"/>
  <c r="R32" i="3"/>
  <c r="S32" i="3"/>
  <c r="N33" i="3"/>
  <c r="O33" i="3"/>
  <c r="P33" i="3"/>
  <c r="Q33" i="3"/>
  <c r="R33" i="3"/>
  <c r="S33" i="3"/>
  <c r="N34" i="3"/>
  <c r="O34" i="3"/>
  <c r="P34" i="3"/>
  <c r="Q34" i="3"/>
  <c r="R34" i="3"/>
  <c r="S3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DA49D-8643-4EB0-A88C-1811FCE211F7}" name="Query - Accounts" description="Connection to the 'Accounts' query in the workbook." type="100" refreshedVersion="8" minRefreshableVersion="5">
    <extLst>
      <ext xmlns:x15="http://schemas.microsoft.com/office/spreadsheetml/2010/11/main" uri="{DE250136-89BD-433C-8126-D09CA5730AF9}">
        <x15:connection id="7bd54924-d354-4331-95c4-0e2c50f85ca8">
          <x15:oledbPr connection="Provider=Microsoft.Mashup.OleDb.1;Data Source=$Workbook$;Location=Accounts;Extended Properties=&quot;&quot;">
            <x15:dbTables>
              <x15:dbTable name="Accounts"/>
            </x15:dbTables>
          </x15:oledbPr>
        </x15:connection>
      </ext>
    </extLst>
  </connection>
  <connection id="2" xr16:uid="{7774E97A-E155-4A2C-B910-89E2E86576B8}" name="Query - Date" description="Connection to the 'Date' query in the workbook." type="100" refreshedVersion="8" minRefreshableVersion="5">
    <extLst>
      <ext xmlns:x15="http://schemas.microsoft.com/office/spreadsheetml/2010/11/main" uri="{DE250136-89BD-433C-8126-D09CA5730AF9}">
        <x15:connection id="2d7b70a0-5c0a-4740-83fb-9c1451812cc3"/>
      </ext>
    </extLst>
  </connection>
  <connection id="3" xr16:uid="{A01183AC-5C68-4CF6-91AE-D6E1609B1DB5}" name="Query - Products" description="Connection to the 'Products' query in the workbook." type="100" refreshedVersion="8" minRefreshableVersion="5">
    <extLst>
      <ext xmlns:x15="http://schemas.microsoft.com/office/spreadsheetml/2010/11/main" uri="{DE250136-89BD-433C-8126-D09CA5730AF9}">
        <x15:connection id="2f3f54c4-24ef-4962-a043-186b5b0fc0c2">
          <x15:oledbPr connection="Provider=Microsoft.Mashup.OleDb.1;Data Source=$Workbook$;Location=Products;Extended Properties=&quot;&quot;">
            <x15:dbTables>
              <x15:dbTable name="Products"/>
            </x15:dbTables>
          </x15:oledbPr>
        </x15:connection>
      </ext>
    </extLst>
  </connection>
  <connection id="4" xr16:uid="{8A1DED6F-B09C-4FE2-885E-F20775D4FC18}" name="Query - Sales_Pipeline" description="Connection to the 'Sales_Pipeline' query in the workbook." type="100" refreshedVersion="8" minRefreshableVersion="5">
    <extLst>
      <ext xmlns:x15="http://schemas.microsoft.com/office/spreadsheetml/2010/11/main" uri="{DE250136-89BD-433C-8126-D09CA5730AF9}">
        <x15:connection id="88b432a6-5a19-4fb0-b4e4-971f812398d5">
          <x15:oledbPr connection="Provider=Microsoft.Mashup.OleDb.1;Data Source=$Workbook$;Location=Sales_Pipeline;Extended Properties=&quot;&quot;">
            <x15:dbTables>
              <x15:dbTable name="Sales_Pipeline"/>
            </x15:dbTables>
          </x15:oledbPr>
        </x15:connection>
      </ext>
    </extLst>
  </connection>
  <connection id="5" xr16:uid="{5FEE2FBF-E2D7-435B-8D66-80AE39837D13}" name="Query - Sales_Team" description="Connection to the 'Sales_Team' query in the workbook." type="100" refreshedVersion="8" minRefreshableVersion="5">
    <extLst>
      <ext xmlns:x15="http://schemas.microsoft.com/office/spreadsheetml/2010/11/main" uri="{DE250136-89BD-433C-8126-D09CA5730AF9}">
        <x15:connection id="4a12fdf2-b7cf-48c5-9b11-d85f338ff165">
          <x15:oledbPr connection="Provider=Microsoft.Mashup.OleDb.1;Data Source=$Workbook$;Location=Sales_Team;Extended Properties=&quot;&quot;">
            <x15:dbTables>
              <x15:dbTable name="Sales_Team"/>
            </x15:dbTables>
          </x15:oledbPr>
        </x15:connection>
      </ext>
    </extLst>
  </connection>
  <connection id="6" xr16:uid="{07E2C5A8-AD9D-47AC-BB29-44429EC876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<sst xmlns="http://schemas.openxmlformats.org/spreadsheetml/2006/main" count="72" uniqueCount="52">
  <si>
    <t>Total_Sales</t>
  </si>
  <si>
    <t>Won_ Deals</t>
  </si>
  <si>
    <t>Total_ Deals</t>
  </si>
  <si>
    <t>Win_Rate%</t>
  </si>
  <si>
    <t>Grand Total</t>
  </si>
  <si>
    <t>Mar</t>
  </si>
  <si>
    <t>Apr</t>
  </si>
  <si>
    <t>May</t>
  </si>
  <si>
    <t>Jun</t>
  </si>
  <si>
    <t>Jul</t>
  </si>
  <si>
    <t>Aug</t>
  </si>
  <si>
    <t>Sep</t>
  </si>
  <si>
    <t>Oct</t>
  </si>
  <si>
    <t>Nov</t>
  </si>
  <si>
    <t>Dec</t>
  </si>
  <si>
    <t>Row Labels</t>
  </si>
  <si>
    <t>GTK 500</t>
  </si>
  <si>
    <t>GTX Basic</t>
  </si>
  <si>
    <t>GTX Plus Basic</t>
  </si>
  <si>
    <t>GTX Plus Pro</t>
  </si>
  <si>
    <t>GTX Pro</t>
  </si>
  <si>
    <t>MG Advanced</t>
  </si>
  <si>
    <t>MG Special</t>
  </si>
  <si>
    <t>Count of opportunity_id</t>
  </si>
  <si>
    <t>Engaging</t>
  </si>
  <si>
    <t>Lost</t>
  </si>
  <si>
    <t>Won</t>
  </si>
  <si>
    <t>Average_Sales_Cycle</t>
  </si>
  <si>
    <t>Sales Agent</t>
  </si>
  <si>
    <t>Avg_Sales_Cycle</t>
  </si>
  <si>
    <t>Avg_Deal_Value</t>
  </si>
  <si>
    <t>Prospecting</t>
  </si>
  <si>
    <t>Treequote</t>
  </si>
  <si>
    <t>Warephase</t>
  </si>
  <si>
    <t>Isdom</t>
  </si>
  <si>
    <t>Darcel Schlecht</t>
  </si>
  <si>
    <t>Kan-code</t>
  </si>
  <si>
    <t>Konex</t>
  </si>
  <si>
    <t>Cassey Cress</t>
  </si>
  <si>
    <t>Donn Cantrell</t>
  </si>
  <si>
    <t>Reed Clapper</t>
  </si>
  <si>
    <t>Corliss Cosme</t>
  </si>
  <si>
    <t>Daniell Hammack</t>
  </si>
  <si>
    <t>Cheers</t>
  </si>
  <si>
    <t>Goodsilron</t>
  </si>
  <si>
    <t>Xx-holding</t>
  </si>
  <si>
    <t>Vicki Laflamme</t>
  </si>
  <si>
    <t>Kary Hendrixson</t>
  </si>
  <si>
    <t>Zane Levy</t>
  </si>
  <si>
    <t>James Ascencio</t>
  </si>
  <si>
    <t>Condax</t>
  </si>
  <si>
    <t>Hottechi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</si>
</sst>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00\);\$#,##0.00"/>
    <numFmt numFmtId="165" formatCode="0.00%;\-0.00%;0.00%"/>
    <numFmt numFmtId="166" formatCode="0.0"/>
    <numFmt numFmtId="167" formatCode="&quot;$&quot;#,##0"/>
    <numFmt numFmtId="168" formatCode="&quot;$&quot;#,##0,&quot;K&quot;"/>
  </numFmts>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0" fillId="0" borderId="1" xfId="0" applyBorder="1" applyAlignment="1">
      <alignment horizontal="center" vertical="center"/>
    </xf>
    <xf numFmtId="9" fontId="0" fillId="0" borderId="1" xfId="2" applyFont="1" applyBorder="1" applyAlignment="1">
      <alignment horizontal="center" vertical="center"/>
    </xf>
    <xf numFmtId="166" fontId="0" fillId="0" borderId="1" xfId="0" applyNumberFormat="1" applyBorder="1" applyAlignment="1">
      <alignment horizontal="center" vertical="center"/>
    </xf>
    <xf numFmtId="167" fontId="0" fillId="0" borderId="1" xfId="1" applyNumberFormat="1" applyFont="1" applyBorder="1" applyAlignment="1">
      <alignment horizontal="right" vertical="center"/>
    </xf>
    <xf numFmtId="0" fontId="3" fillId="0" borderId="2" xfId="0" applyFont="1" applyBorder="1"/>
    <xf numFmtId="167" fontId="0" fillId="0" borderId="3" xfId="1" applyNumberFormat="1" applyFont="1" applyBorder="1" applyAlignment="1">
      <alignment horizontal="right" vertical="center"/>
    </xf>
    <xf numFmtId="0" fontId="3" fillId="0" borderId="4" xfId="0" applyFont="1" applyBorder="1"/>
    <xf numFmtId="167" fontId="0" fillId="0" borderId="5" xfId="1" applyNumberFormat="1" applyFont="1" applyBorder="1" applyAlignment="1">
      <alignment horizontal="right" vertical="center"/>
    </xf>
    <xf numFmtId="0" fontId="0" fillId="0" borderId="5" xfId="0" applyBorder="1" applyAlignment="1">
      <alignment horizontal="center" vertical="center"/>
    </xf>
    <xf numFmtId="9" fontId="0" fillId="0" borderId="5" xfId="2" applyFont="1" applyBorder="1" applyAlignment="1">
      <alignment horizontal="center" vertical="center"/>
    </xf>
    <xf numFmtId="166" fontId="0" fillId="0" borderId="5" xfId="0" applyNumberFormat="1" applyBorder="1" applyAlignment="1">
      <alignment horizontal="center" vertical="center"/>
    </xf>
    <xf numFmtId="167" fontId="0" fillId="0" borderId="6" xfId="1" applyNumberFormat="1" applyFont="1" applyBorder="1" applyAlignment="1">
      <alignment horizontal="right" vertical="center"/>
    </xf>
    <xf numFmtId="0" fontId="3" fillId="0" borderId="7" xfId="0" applyFont="1" applyBorder="1"/>
    <xf numFmtId="167" fontId="0" fillId="0" borderId="8" xfId="1" applyNumberFormat="1" applyFont="1" applyBorder="1" applyAlignment="1">
      <alignment horizontal="right" vertical="center"/>
    </xf>
    <xf numFmtId="0" fontId="0" fillId="0" borderId="8" xfId="0" applyBorder="1" applyAlignment="1">
      <alignment horizontal="center" vertical="center"/>
    </xf>
    <xf numFmtId="9" fontId="0" fillId="0" borderId="8" xfId="2" applyFont="1" applyBorder="1" applyAlignment="1">
      <alignment horizontal="center" vertical="center"/>
    </xf>
    <xf numFmtId="166" fontId="0" fillId="0" borderId="8" xfId="0" applyNumberFormat="1" applyBorder="1" applyAlignment="1">
      <alignment horizontal="center" vertical="center"/>
    </xf>
    <xf numFmtId="167" fontId="0" fillId="0" borderId="9" xfId="1" applyNumberFormat="1" applyFont="1" applyBorder="1" applyAlignment="1">
      <alignment horizontal="right" vertical="center"/>
    </xf>
    <xf numFmtId="0" fontId="2" fillId="0" borderId="10" xfId="0" applyFont="1" applyBorder="1"/>
    <xf numFmtId="0" fontId="2" fillId="0" borderId="11" xfId="0" applyFont="1" applyBorder="1"/>
    <xf numFmtId="0" fontId="2" fillId="0" borderId="12" xfId="0" applyFont="1" applyBorder="1"/>
    <xf numFmtId="168" fontId="0" fillId="0" borderId="0" xfId="0" applyNumberFormat="1"/>
  </cellXfs>
  <cellStyles count="3">
    <cellStyle name="Currency" xfId="1" builtinId="4"/>
    <cellStyle name="Normal" xfId="0" builtinId="0"/>
    <cellStyle name="Percent" xfId="2" builtinId="5"/>
  </cellStyles>
  <dxfs count="2">
    <dxf>
      <numFmt numFmtId="166" formatCode="0.0"/>
    </dxf>
    <dxf>
      <numFmt numFmtId="168" formatCode="&quot;$&quot;#,##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63" Type="http://schemas.openxmlformats.org/officeDocument/2006/relationships/customXml" Target="../customXml/item4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66" Type="http://schemas.openxmlformats.org/officeDocument/2006/relationships/customXml" Target="../customXml/item43.xml"/><Relationship Id="rId5" Type="http://schemas.openxmlformats.org/officeDocument/2006/relationships/pivotCacheDefinition" Target="pivotCache/pivotCacheDefinition3.xml"/><Relationship Id="rId61" Type="http://schemas.openxmlformats.org/officeDocument/2006/relationships/customXml" Target="../customXml/item38.xml"/><Relationship Id="rId19" Type="http://schemas.openxmlformats.org/officeDocument/2006/relationships/connections" Target="connections.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64" Type="http://schemas.openxmlformats.org/officeDocument/2006/relationships/customXml" Target="../customXml/item41.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67" Type="http://schemas.openxmlformats.org/officeDocument/2006/relationships/customXml" Target="../customXml/item44.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8.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65" Type="http://schemas.openxmlformats.org/officeDocument/2006/relationships/customXml" Target="../customXml/item4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theme" Target="theme/theme1.xml"/><Relationship Id="rId3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[Sales_CRM_Dashbaord.xlsx]PivotTables!Revenue Trend</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r>
              <a:rPr lang="en-US" sz="1400" b="0" i="0" u="none" strike="noStrike" kern="1200" spc="0" baseline="0">
                <a:solidFill>
                  <a:schemeClr val="tx1">
                    <a:lumMod val="95000"/>
                    <a:lumOff val="5000"/>
                  </a:schemeClr>
                </a:solidFill>
                <a:latin typeface="+mn-lt"/>
                <a:ea typeface="+mn-ea"/>
                <a:cs typeface="+mn-cs"/>
              </a:rPr>
              <a:t>Revenue Trend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circle"/>
          <c:size val="5"/>
          <c:spPr>
            <a:solidFill>
              <a:srgbClr val="C000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3"/>
              </a:solidFill>
            </a:ln>
            <a:effectLst/>
          </c:spPr>
        </c:marker>
      </c:pivotFmt>
    </c:pivotFmts>
    <c:plotArea>
      <c:layout/>
      <c:lineChart>
        <c:grouping val="standard"/>
        <c:varyColors val="0"/>
        <c:ser>
          <c:idx val="0"/>
          <c:order val="0"/>
          <c:tx>
            <c:strRef>
              <c:f>PivotTables!$C$10</c:f>
              <c:strCache>
                <c:ptCount val="1"/>
                <c:pt idx="0">
                  <c:v>Total</c:v>
                </c:pt>
              </c:strCache>
            </c:strRef>
          </c:tx>
          <c:spPr>
            <a:ln w="28575" cap="rnd">
              <a:solidFill>
                <a:schemeClr val="accent2">
                  <a:lumMod val="75000"/>
                </a:schemeClr>
              </a:solidFill>
              <a:round/>
            </a:ln>
            <a:effectLst/>
          </c:spPr>
          <c:marker>
            <c:symbol val="circle"/>
            <c:size val="5"/>
            <c:spPr>
              <a:solidFill>
                <a:srgbClr val="C00000"/>
              </a:solidFill>
              <a:ln w="9525">
                <a:solidFill>
                  <a:schemeClr val="accent3"/>
                </a:solidFill>
              </a:ln>
              <a:effectLst/>
            </c:spPr>
          </c:marker>
          <c:dPt>
            <c:idx val="5"/>
            <c:marker>
              <c:symbol val="circle"/>
              <c:size val="5"/>
              <c:spPr>
                <a:solidFill>
                  <a:schemeClr val="accent2">
                    <a:lumMod val="75000"/>
                  </a:schemeClr>
                </a:solidFill>
                <a:ln w="9525">
                  <a:solidFill>
                    <a:schemeClr val="accent3"/>
                  </a:solidFill>
                </a:ln>
                <a:effectLst/>
              </c:spPr>
            </c:marker>
            <c:bubble3D val="0"/>
            <c:extLst>
              <c:ext xmlns:c16="http://schemas.microsoft.com/office/drawing/2014/chart" uri="{C3380CC4-5D6E-409C-BE32-E72D297353CC}">
                <c16:uniqueId val="{00000000-BD56-4C0C-9870-58137BD4F9D8}"/>
              </c:ext>
            </c:extLst>
          </c:dPt>
          <c:cat>
            <c:strRef>
              <c:f>PivotTables!$B$11:$B$21</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PivotTables!$C$11:$C$21</c:f>
              <c:numCache>
                <c:formatCode>\$#,##0.00;\(\$#,##0.00\);\$#,##0.00</c:formatCode>
                <c:ptCount val="10"/>
                <c:pt idx="0">
                  <c:v>1134672</c:v>
                </c:pt>
                <c:pt idx="1">
                  <c:v>721932</c:v>
                </c:pt>
                <c:pt idx="2">
                  <c:v>1025713</c:v>
                </c:pt>
                <c:pt idx="3">
                  <c:v>1338466</c:v>
                </c:pt>
                <c:pt idx="4">
                  <c:v>696932</c:v>
                </c:pt>
                <c:pt idx="5">
                  <c:v>1050059</c:v>
                </c:pt>
                <c:pt idx="6">
                  <c:v>1235264</c:v>
                </c:pt>
                <c:pt idx="7">
                  <c:v>731980</c:v>
                </c:pt>
                <c:pt idx="8">
                  <c:v>938943</c:v>
                </c:pt>
                <c:pt idx="9">
                  <c:v>1131573</c:v>
                </c:pt>
              </c:numCache>
            </c:numRef>
          </c:val>
          <c:smooth val="0"/>
          <c:extLst>
            <c:ext xmlns:c16="http://schemas.microsoft.com/office/drawing/2014/chart" uri="{C3380CC4-5D6E-409C-BE32-E72D297353CC}">
              <c16:uniqueId val="{00000000-0EA2-41D0-828F-5C1024859224}"/>
            </c:ext>
          </c:extLst>
        </c:ser>
        <c:dLbls>
          <c:showLegendKey val="0"/>
          <c:showVal val="0"/>
          <c:showCatName val="0"/>
          <c:showSerName val="0"/>
          <c:showPercent val="0"/>
          <c:showBubbleSize val="0"/>
        </c:dLbls>
        <c:marker val="1"/>
        <c:smooth val="0"/>
        <c:axId val="620226816"/>
        <c:axId val="620227296"/>
      </c:lineChart>
      <c:catAx>
        <c:axId val="62022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27296"/>
        <c:crosses val="autoZero"/>
        <c:auto val="1"/>
        <c:lblAlgn val="ctr"/>
        <c:lblOffset val="100"/>
        <c:noMultiLvlLbl val="0"/>
      </c:catAx>
      <c:valAx>
        <c:axId val="62022729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26816"/>
        <c:crosses val="autoZero"/>
        <c:crossBetween val="between"/>
        <c:dispUnits>
          <c:builtInUnit val="thousan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[Sales_CRM_Dashbaord.xlsx]PivotTables!Sales by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Revenue</a:t>
            </a:r>
            <a:r>
              <a:rPr lang="en-US" baseline="0">
                <a:solidFill>
                  <a:schemeClr val="tx1">
                    <a:lumMod val="95000"/>
                    <a:lumOff val="5000"/>
                  </a:schemeClr>
                </a:solidFill>
              </a:rPr>
              <a:t> by Product</a:t>
            </a:r>
          </a:p>
          <a:p>
            <a:pPr>
              <a:defRPr>
                <a:solidFill>
                  <a:schemeClr val="tx1">
                    <a:lumMod val="95000"/>
                    <a:lumOff val="5000"/>
                  </a:schemeClr>
                </a:solidFill>
              </a:defRPr>
            </a:pP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88468378690302"/>
          <c:y val="0.28243813635395826"/>
          <c:w val="0.62598116378807278"/>
          <c:h val="0.64877949020825798"/>
        </c:manualLayout>
      </c:layout>
      <c:barChart>
        <c:barDir val="bar"/>
        <c:grouping val="clustered"/>
        <c:varyColors val="0"/>
        <c:ser>
          <c:idx val="0"/>
          <c:order val="0"/>
          <c:tx>
            <c:strRef>
              <c:f>PivotTables!$C$34</c:f>
              <c:strCache>
                <c:ptCount val="1"/>
                <c:pt idx="0">
                  <c:v>Total</c:v>
                </c:pt>
              </c:strCache>
            </c:strRef>
          </c:tx>
          <c:spPr>
            <a:solidFill>
              <a:schemeClr val="accent2"/>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PivotTables!$B$35:$B$42</c:f>
              <c:strCache>
                <c:ptCount val="7"/>
                <c:pt idx="0">
                  <c:v>MG Special</c:v>
                </c:pt>
                <c:pt idx="1">
                  <c:v>GTK 500</c:v>
                </c:pt>
                <c:pt idx="2">
                  <c:v>GTX Basic</c:v>
                </c:pt>
                <c:pt idx="3">
                  <c:v>GTX Plus Basic</c:v>
                </c:pt>
                <c:pt idx="4">
                  <c:v>MG Advanced</c:v>
                </c:pt>
                <c:pt idx="5">
                  <c:v>GTX Plus Pro</c:v>
                </c:pt>
                <c:pt idx="6">
                  <c:v>GTX Pro</c:v>
                </c:pt>
              </c:strCache>
            </c:strRef>
          </c:cat>
          <c:val>
            <c:numRef>
              <c:f>PivotTables!$C$35:$C$42</c:f>
              <c:numCache>
                <c:formatCode>\$#,##0.00;\(\$#,##0.00\);\$#,##0.00</c:formatCode>
                <c:ptCount val="7"/>
                <c:pt idx="0">
                  <c:v>43768</c:v>
                </c:pt>
                <c:pt idx="1">
                  <c:v>400612</c:v>
                </c:pt>
                <c:pt idx="2">
                  <c:v>499263</c:v>
                </c:pt>
                <c:pt idx="3">
                  <c:v>705275</c:v>
                </c:pt>
                <c:pt idx="4">
                  <c:v>2216387</c:v>
                </c:pt>
                <c:pt idx="5">
                  <c:v>2629651</c:v>
                </c:pt>
                <c:pt idx="6">
                  <c:v>3510578</c:v>
                </c:pt>
              </c:numCache>
            </c:numRef>
          </c:val>
          <c:extLst>
            <c:ext xmlns:c16="http://schemas.microsoft.com/office/drawing/2014/chart" uri="{C3380CC4-5D6E-409C-BE32-E72D297353CC}">
              <c16:uniqueId val="{00000000-32D7-4197-8B61-7C444421C2F7}"/>
            </c:ext>
          </c:extLst>
        </c:ser>
        <c:dLbls>
          <c:dLblPos val="outEnd"/>
          <c:showLegendKey val="0"/>
          <c:showVal val="1"/>
          <c:showCatName val="0"/>
          <c:showSerName val="0"/>
          <c:showPercent val="0"/>
          <c:showBubbleSize val="0"/>
        </c:dLbls>
        <c:gapWidth val="25"/>
        <c:axId val="936789952"/>
        <c:axId val="936776032"/>
      </c:barChart>
      <c:catAx>
        <c:axId val="93678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776032"/>
        <c:crosses val="autoZero"/>
        <c:auto val="1"/>
        <c:lblAlgn val="ctr"/>
        <c:lblOffset val="100"/>
        <c:noMultiLvlLbl val="0"/>
      </c:catAx>
      <c:valAx>
        <c:axId val="936776032"/>
        <c:scaling>
          <c:orientation val="minMax"/>
        </c:scaling>
        <c:delete val="1"/>
        <c:axPos val="b"/>
        <c:numFmt formatCode="\$#,##0.00;\(\$#,##0.00\);\$#,##0.00" sourceLinked="1"/>
        <c:majorTickMark val="none"/>
        <c:minorTickMark val="none"/>
        <c:tickLblPos val="nextTo"/>
        <c:crossAx val="9367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[Sales_CRM_Dashbaord.xlsx]PivotTables!Sales by Top Clients</c:name>
    <c:fmtId val="8"/>
  </c:pivotSource>
  <c:chart>
    <c:title>
      <c:tx>
        <c:rich>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r>
              <a:rPr lang="en-US" sz="1400" b="0" i="0" u="none" strike="noStrike" kern="1200" spc="0" baseline="0">
                <a:solidFill>
                  <a:schemeClr val="tx1">
                    <a:lumMod val="95000"/>
                    <a:lumOff val="5000"/>
                  </a:schemeClr>
                </a:solidFill>
                <a:latin typeface="+mn-lt"/>
                <a:ea typeface="+mn-ea"/>
                <a:cs typeface="+mn-cs"/>
              </a:rPr>
              <a:t>Top 10 Clients</a:t>
            </a:r>
          </a:p>
          <a:p>
            <a:pPr algn="ctr" rtl="0">
              <a:defRPr lang="en-US">
                <a:solidFill>
                  <a:schemeClr val="tx1">
                    <a:lumMod val="95000"/>
                    <a:lumOff val="5000"/>
                  </a:schemeClr>
                </a:solidFill>
              </a:defRPr>
            </a:pPr>
            <a:endParaRPr lang="en-US" sz="1400" b="0" i="0" u="none" strike="noStrike" kern="1200" spc="0" baseline="0">
              <a:solidFill>
                <a:schemeClr val="tx1">
                  <a:lumMod val="95000"/>
                  <a:lumOff val="5000"/>
                </a:schemeClr>
              </a:solidFill>
              <a:latin typeface="+mn-lt"/>
              <a:ea typeface="+mn-ea"/>
              <a:cs typeface="+mn-cs"/>
            </a:endParaRPr>
          </a:p>
        </c:rich>
      </c:tx>
      <c:layout>
        <c:manualLayout>
          <c:xMode val="edge"/>
          <c:yMode val="edge"/>
          <c:x val="0.36542344706911634"/>
          <c:y val="2.7777777777777776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57770672239769E-2"/>
          <c:y val="0.1307752391312349"/>
          <c:w val="0.94884222932776019"/>
          <c:h val="0.58302664746744748"/>
        </c:manualLayout>
      </c:layout>
      <c:barChart>
        <c:barDir val="col"/>
        <c:grouping val="clustered"/>
        <c:varyColors val="0"/>
        <c:ser>
          <c:idx val="0"/>
          <c:order val="0"/>
          <c:tx>
            <c:strRef>
              <c:f>PivotTables!$M$26</c:f>
              <c:strCache>
                <c:ptCount val="1"/>
                <c:pt idx="0">
                  <c:v>Total</c:v>
                </c:pt>
              </c:strCache>
            </c:strRef>
          </c:tx>
          <c:spPr>
            <a:solidFill>
              <a:schemeClr val="accent2">
                <a:lumMod val="60000"/>
                <a:lumOff val="40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PivotTables!$L$27:$L$37</c:f>
              <c:strCache>
                <c:ptCount val="10"/>
                <c:pt idx="0">
                  <c:v>Kan-code</c:v>
                </c:pt>
                <c:pt idx="1">
                  <c:v>Konex</c:v>
                </c:pt>
                <c:pt idx="2">
                  <c:v>Condax</c:v>
                </c:pt>
                <c:pt idx="3">
                  <c:v>Cheers</c:v>
                </c:pt>
                <c:pt idx="4">
                  <c:v>Hottechi</c:v>
                </c:pt>
                <c:pt idx="5">
                  <c:v>Goodsilron</c:v>
                </c:pt>
                <c:pt idx="6">
                  <c:v>Treequote</c:v>
                </c:pt>
                <c:pt idx="7">
                  <c:v>Warephase</c:v>
                </c:pt>
                <c:pt idx="8">
                  <c:v>Xx-holding</c:v>
                </c:pt>
                <c:pt idx="9">
                  <c:v>Isdom</c:v>
                </c:pt>
              </c:strCache>
            </c:strRef>
          </c:cat>
          <c:val>
            <c:numRef>
              <c:f>PivotTables!$M$27:$M$37</c:f>
              <c:numCache>
                <c:formatCode>\$#,##0.00;\(\$#,##0.00\);\$#,##0.00</c:formatCode>
                <c:ptCount val="10"/>
                <c:pt idx="0">
                  <c:v>341455</c:v>
                </c:pt>
                <c:pt idx="1">
                  <c:v>269245</c:v>
                </c:pt>
                <c:pt idx="2">
                  <c:v>206410</c:v>
                </c:pt>
                <c:pt idx="3">
                  <c:v>198020</c:v>
                </c:pt>
                <c:pt idx="4">
                  <c:v>194957</c:v>
                </c:pt>
                <c:pt idx="5">
                  <c:v>182522</c:v>
                </c:pt>
                <c:pt idx="6">
                  <c:v>176751</c:v>
                </c:pt>
                <c:pt idx="7">
                  <c:v>170046</c:v>
                </c:pt>
                <c:pt idx="8">
                  <c:v>169357</c:v>
                </c:pt>
                <c:pt idx="9">
                  <c:v>164683</c:v>
                </c:pt>
              </c:numCache>
            </c:numRef>
          </c:val>
          <c:extLst>
            <c:ext xmlns:c16="http://schemas.microsoft.com/office/drawing/2014/chart" uri="{C3380CC4-5D6E-409C-BE32-E72D297353CC}">
              <c16:uniqueId val="{00000000-52F7-4485-9CDA-C36A4A97F68D}"/>
            </c:ext>
          </c:extLst>
        </c:ser>
        <c:dLbls>
          <c:dLblPos val="outEnd"/>
          <c:showLegendKey val="0"/>
          <c:showVal val="1"/>
          <c:showCatName val="0"/>
          <c:showSerName val="0"/>
          <c:showPercent val="0"/>
          <c:showBubbleSize val="0"/>
        </c:dLbls>
        <c:gapWidth val="25"/>
        <c:axId val="1687955152"/>
        <c:axId val="1687954672"/>
      </c:barChart>
      <c:catAx>
        <c:axId val="16879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54672"/>
        <c:crosses val="autoZero"/>
        <c:auto val="1"/>
        <c:lblAlgn val="ctr"/>
        <c:lblOffset val="100"/>
        <c:noMultiLvlLbl val="0"/>
      </c:catAx>
      <c:valAx>
        <c:axId val="1687954672"/>
        <c:scaling>
          <c:orientation val="minMax"/>
        </c:scaling>
        <c:delete val="1"/>
        <c:axPos val="l"/>
        <c:numFmt formatCode="\$#,##0.00;\(\$#,##0.00\);\$#,##0.00" sourceLinked="1"/>
        <c:majorTickMark val="none"/>
        <c:minorTickMark val="none"/>
        <c:tickLblPos val="nextTo"/>
        <c:crossAx val="168795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[Sales_CRM_Dashbaord.xlsx]PivotTables!Opportunity Count by deal stages</c:name>
    <c:fmtId val="5"/>
  </c:pivotSource>
  <c:chart>
    <c:title>
      <c:tx>
        <c:rich>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r>
              <a:rPr lang="en-US" sz="1400" b="0" i="0" u="none" strike="noStrike" kern="1200" spc="0" baseline="0">
                <a:solidFill>
                  <a:schemeClr val="tx1">
                    <a:lumMod val="95000"/>
                    <a:lumOff val="5000"/>
                  </a:schemeClr>
                </a:solidFill>
                <a:latin typeface="+mn-lt"/>
                <a:ea typeface="+mn-ea"/>
                <a:cs typeface="+mn-cs"/>
              </a:rPr>
              <a:t>Opportunity Distribution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pieChart>
        <c:varyColors val="1"/>
        <c:ser>
          <c:idx val="0"/>
          <c:order val="0"/>
          <c:tx>
            <c:strRef>
              <c:f>PivotTables!$G$44</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05BC-4116-9FEF-DB47D3619360}"/>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05BC-4116-9FEF-DB47D3619360}"/>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05BC-4116-9FEF-DB47D3619360}"/>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05BC-4116-9FEF-DB47D36193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PivotTables!$F$45:$F$49</c:f>
              <c:strCache>
                <c:ptCount val="4"/>
                <c:pt idx="0">
                  <c:v>Engaging</c:v>
                </c:pt>
                <c:pt idx="1">
                  <c:v>Lost</c:v>
                </c:pt>
                <c:pt idx="2">
                  <c:v>Prospecting</c:v>
                </c:pt>
                <c:pt idx="3">
                  <c:v>Won</c:v>
                </c:pt>
              </c:strCache>
            </c:strRef>
          </c:cat>
          <c:val>
            <c:numRef>
              <c:f>PivotTables!$G$45:$G$49</c:f>
              <c:numCache>
                <c:formatCode>0.00%</c:formatCode>
                <c:ptCount val="4"/>
                <c:pt idx="0">
                  <c:v>0.18056818181818182</c:v>
                </c:pt>
                <c:pt idx="1">
                  <c:v>0.28102272727272726</c:v>
                </c:pt>
                <c:pt idx="2">
                  <c:v>5.6818181818181816E-2</c:v>
                </c:pt>
                <c:pt idx="3">
                  <c:v>0.48159090909090907</c:v>
                </c:pt>
              </c:numCache>
            </c:numRef>
          </c:val>
          <c:extLst>
            <c:ext xmlns:c16="http://schemas.microsoft.com/office/drawing/2014/chart" uri="{C3380CC4-5D6E-409C-BE32-E72D297353CC}">
              <c16:uniqueId val="{00000008-05BC-4116-9FEF-DB47D36193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[Sales_CRM_Dashbaord.xlsx]PivotTables!Average_Cycle_Days_Won VS Lost</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r>
              <a:rPr lang="en-US" sz="1400" b="0" i="0" u="none" strike="noStrike" kern="1200" spc="0" baseline="0">
                <a:solidFill>
                  <a:schemeClr val="tx1">
                    <a:lumMod val="95000"/>
                    <a:lumOff val="5000"/>
                  </a:schemeClr>
                </a:solidFill>
                <a:latin typeface="+mn-lt"/>
                <a:ea typeface="+mn-ea"/>
                <a:cs typeface="+mn-cs"/>
              </a:rPr>
              <a:t>Average Cycle days</a:t>
            </a:r>
          </a:p>
        </c:rich>
      </c:tx>
      <c:layout>
        <c:manualLayout>
          <c:xMode val="edge"/>
          <c:yMode val="edge"/>
          <c:x val="0.21824633796793538"/>
          <c:y val="6.229028871391077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pivotFmt>
      <c:pivotFmt>
        <c:idx val="4"/>
        <c:spPr>
          <a:solidFill>
            <a:schemeClr val="accent2">
              <a:lumMod val="75000"/>
            </a:schemeClr>
          </a:solidFill>
          <a:ln>
            <a:noFill/>
          </a:ln>
          <a:effectLst/>
        </c:spPr>
      </c:pivotFmt>
    </c:pivotFmts>
    <c:plotArea>
      <c:layout>
        <c:manualLayout>
          <c:layoutTarget val="inner"/>
          <c:xMode val="edge"/>
          <c:yMode val="edge"/>
          <c:x val="6.5151501725791927E-2"/>
          <c:y val="0.24726666666666669"/>
          <c:w val="0.86969699654841615"/>
          <c:h val="0.59807821522309712"/>
        </c:manualLayout>
      </c:layout>
      <c:barChart>
        <c:barDir val="col"/>
        <c:grouping val="clustered"/>
        <c:varyColors val="0"/>
        <c:ser>
          <c:idx val="0"/>
          <c:order val="0"/>
          <c:tx>
            <c:strRef>
              <c:f>PivotTables!$G$11</c:f>
              <c:strCache>
                <c:ptCount val="1"/>
                <c:pt idx="0">
                  <c:v>Total</c:v>
                </c:pt>
              </c:strCache>
            </c:strRef>
          </c:tx>
          <c:spPr>
            <a:solidFill>
              <a:schemeClr val="accent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0-55DB-4C6A-9E9E-38766706D73A}"/>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47DB-41FE-BE9B-DCBD13D8563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PivotTables!$F$12:$F$14</c:f>
              <c:strCache>
                <c:ptCount val="2"/>
                <c:pt idx="0">
                  <c:v>Lost</c:v>
                </c:pt>
                <c:pt idx="1">
                  <c:v>Won</c:v>
                </c:pt>
              </c:strCache>
            </c:strRef>
          </c:cat>
          <c:val>
            <c:numRef>
              <c:f>PivotTables!$G$12:$G$14</c:f>
              <c:numCache>
                <c:formatCode>General</c:formatCode>
                <c:ptCount val="2"/>
                <c:pt idx="0">
                  <c:v>41.479175090982615</c:v>
                </c:pt>
                <c:pt idx="1">
                  <c:v>51.781972628598396</c:v>
                </c:pt>
              </c:numCache>
            </c:numRef>
          </c:val>
          <c:extLst>
            <c:ext xmlns:c16="http://schemas.microsoft.com/office/drawing/2014/chart" uri="{C3380CC4-5D6E-409C-BE32-E72D297353CC}">
              <c16:uniqueId val="{00000000-91C1-4EF0-98AB-B45D33CDAFDB}"/>
            </c:ext>
          </c:extLst>
        </c:ser>
        <c:dLbls>
          <c:dLblPos val="outEnd"/>
          <c:showLegendKey val="0"/>
          <c:showVal val="1"/>
          <c:showCatName val="0"/>
          <c:showSerName val="0"/>
          <c:showPercent val="0"/>
          <c:showBubbleSize val="0"/>
        </c:dLbls>
        <c:gapWidth val="25"/>
        <c:overlap val="-27"/>
        <c:axId val="1448265520"/>
        <c:axId val="838364624"/>
      </c:barChart>
      <c:catAx>
        <c:axId val="144826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364624"/>
        <c:crosses val="autoZero"/>
        <c:auto val="1"/>
        <c:lblAlgn val="ctr"/>
        <c:lblOffset val="100"/>
        <c:noMultiLvlLbl val="0"/>
      </c:catAx>
      <c:valAx>
        <c:axId val="838364624"/>
        <c:scaling>
          <c:orientation val="minMax"/>
        </c:scaling>
        <c:delete val="1"/>
        <c:axPos val="l"/>
        <c:numFmt formatCode="General" sourceLinked="1"/>
        <c:majorTickMark val="none"/>
        <c:minorTickMark val="none"/>
        <c:tickLblPos val="nextTo"/>
        <c:crossAx val="14482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575930</xdr:colOff>
      <xdr:row>11</xdr:row>
      <xdr:rowOff>85061</xdr:rowOff>
    </xdr:from>
    <xdr:to>
      <xdr:col>18</xdr:col>
      <xdr:colOff>939209</xdr:colOff>
      <xdr:row>21</xdr:row>
      <xdr:rowOff>150629</xdr:rowOff>
    </xdr:to>
    <xdr:graphicFrame macro="">
      <xdr:nvGraphicFramePr>
        <xdr:cNvPr id="2" name="Chart 1">
          <a:extLst>
            <a:ext uri="{FF2B5EF4-FFF2-40B4-BE49-F238E27FC236}">
              <a16:creationId xmlns:a16="http://schemas.microsoft.com/office/drawing/2014/main" id="{3C5424C0-05F3-48F0-A492-05C367C38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531394</xdr:colOff>
      <xdr:row>22</xdr:row>
      <xdr:rowOff>144099</xdr:rowOff>
    </xdr:from>
    <xdr:to>
      <xdr:col>5</xdr:col>
      <xdr:colOff>451185</xdr:colOff>
      <xdr:row>33</xdr:row>
      <xdr:rowOff>130341</xdr:rowOff>
    </xdr:to>
    <xdr:graphicFrame macro="">
      <xdr:nvGraphicFramePr>
        <xdr:cNvPr id="3" name="Chart 2">
          <a:extLst>
            <a:ext uri="{FF2B5EF4-FFF2-40B4-BE49-F238E27FC236}">
              <a16:creationId xmlns:a16="http://schemas.microsoft.com/office/drawing/2014/main" id="{A42C2953-4ED4-4800-8937-0F8AD67A7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505047</xdr:colOff>
      <xdr:row>22</xdr:row>
      <xdr:rowOff>106504</xdr:rowOff>
    </xdr:from>
    <xdr:to>
      <xdr:col>12</xdr:col>
      <xdr:colOff>496186</xdr:colOff>
      <xdr:row>33</xdr:row>
      <xdr:rowOff>168349</xdr:rowOff>
    </xdr:to>
    <xdr:graphicFrame macro="">
      <xdr:nvGraphicFramePr>
        <xdr:cNvPr id="4" name="Chart 3">
          <a:extLst>
            <a:ext uri="{FF2B5EF4-FFF2-40B4-BE49-F238E27FC236}">
              <a16:creationId xmlns:a16="http://schemas.microsoft.com/office/drawing/2014/main" id="{A3989424-A1DA-4FB3-9539-6E2C30DD8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283535</xdr:colOff>
      <xdr:row>11</xdr:row>
      <xdr:rowOff>115185</xdr:rowOff>
    </xdr:from>
    <xdr:to>
      <xdr:col>12</xdr:col>
      <xdr:colOff>372140</xdr:colOff>
      <xdr:row>21</xdr:row>
      <xdr:rowOff>177209</xdr:rowOff>
    </xdr:to>
    <xdr:graphicFrame macro="">
      <xdr:nvGraphicFramePr>
        <xdr:cNvPr id="6" name="Chart 5">
          <a:extLst>
            <a:ext uri="{FF2B5EF4-FFF2-40B4-BE49-F238E27FC236}">
              <a16:creationId xmlns:a16="http://schemas.microsoft.com/office/drawing/2014/main" id="{7248904F-6598-48F4-8DEB-F7564B0E5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121920</xdr:colOff>
      <xdr:row>1</xdr:row>
      <xdr:rowOff>62023</xdr:rowOff>
    </xdr:from>
    <xdr:to>
      <xdr:col>16</xdr:col>
      <xdr:colOff>194930</xdr:colOff>
      <xdr:row>5</xdr:row>
      <xdr:rowOff>7620</xdr:rowOff>
    </xdr:to>
    <xdr:sp macro="" textlink="">
      <xdr:nvSpPr>
        <xdr:cNvPr id="5" name="Rectangle: Rounded Corners 4">
          <a:extLst>
            <a:ext uri="{FF2B5EF4-FFF2-40B4-BE49-F238E27FC236}">
              <a16:creationId xmlns:a16="http://schemas.microsoft.com/office/drawing/2014/main" id="{8E565423-40E9-E410-9494-0F63E80B000C}"/>
            </a:ext>
          </a:extLst>
        </xdr:cNvPr>
        <xdr:cNvSpPr/>
      </xdr:nvSpPr>
      <xdr:spPr>
        <a:xfrm>
          <a:off x="4401525" y="248093"/>
          <a:ext cx="6567731" cy="68987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289560</xdr:colOff>
      <xdr:row>2</xdr:row>
      <xdr:rowOff>26581</xdr:rowOff>
    </xdr:from>
    <xdr:to>
      <xdr:col>16</xdr:col>
      <xdr:colOff>53162</xdr:colOff>
      <xdr:row>3</xdr:row>
      <xdr:rowOff>167640</xdr:rowOff>
    </xdr:to>
    <xdr:sp macro="" textlink="">
      <xdr:nvSpPr>
        <xdr:cNvPr id="7" name="TextBox 6">
          <a:extLst>
            <a:ext uri="{FF2B5EF4-FFF2-40B4-BE49-F238E27FC236}">
              <a16:creationId xmlns:a16="http://schemas.microsoft.com/office/drawing/2014/main" id="{9BAE3B96-488B-CF7F-8CF5-1B6C26A2D9D4}"/>
            </a:ext>
          </a:extLst>
        </xdr:cNvPr>
        <xdr:cNvSpPr txBox="1"/>
      </xdr:nvSpPr>
      <xdr:spPr>
        <a:xfrm>
          <a:off x="4569165" y="398721"/>
          <a:ext cx="6258323" cy="32712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CRM</a:t>
          </a:r>
          <a:r>
            <a:rPr lang="en-US" sz="2800" baseline="0"/>
            <a:t> SALES DASHBOARD</a:t>
          </a:r>
          <a:endParaRPr lang="en-US" sz="2800"/>
        </a:p>
      </xdr:txBody>
    </xdr:sp>
    <xdr:clientData/>
  </xdr:twoCellAnchor>
  <xdr:twoCellAnchor>
    <xdr:from>
      <xdr:col>6</xdr:col>
      <xdr:colOff>274320</xdr:colOff>
      <xdr:row>5</xdr:row>
      <xdr:rowOff>179070</xdr:rowOff>
    </xdr:from>
    <xdr:to>
      <xdr:col>8</xdr:col>
      <xdr:colOff>426720</xdr:colOff>
      <xdr:row>9</xdr:row>
      <xdr:rowOff>179070</xdr:rowOff>
    </xdr:to>
    <xdr:sp macro="" textlink="">
      <xdr:nvSpPr>
        <xdr:cNvPr id="8" name="Rectangle: Rounded Corners 7">
          <a:extLst>
            <a:ext uri="{FF2B5EF4-FFF2-40B4-BE49-F238E27FC236}">
              <a16:creationId xmlns:a16="http://schemas.microsoft.com/office/drawing/2014/main" id="{EF48B79C-0205-D781-0ABF-1F48A0D9B32A}"/>
            </a:ext>
          </a:extLst>
        </xdr:cNvPr>
        <xdr:cNvSpPr/>
      </xdr:nvSpPr>
      <xdr:spPr>
        <a:xfrm>
          <a:off x="3931920" y="1093470"/>
          <a:ext cx="1371600" cy="731520"/>
        </a:xfrm>
        <a:prstGeom prst="roundRect">
          <a:avLst/>
        </a:prstGeom>
        <a:solidFill>
          <a:schemeClr val="bg1"/>
        </a:solidFill>
        <a:effectLst>
          <a:outerShdw blurRad="50800" dist="38100" dir="2700000" algn="tl" rotWithShape="0">
            <a:prstClr val="black">
              <a:alpha val="4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endParaRPr lang="en-US" sz="1100"/>
        </a:p>
      </xdr:txBody>
    </xdr:sp>
    <xdr:clientData/>
  </xdr:twoCellAnchor>
  <xdr:twoCellAnchor>
    <xdr:from>
      <xdr:col>6</xdr:col>
      <xdr:colOff>323585</xdr:colOff>
      <xdr:row>6</xdr:row>
      <xdr:rowOff>149386</xdr:rowOff>
    </xdr:from>
    <xdr:to>
      <xdr:col>8</xdr:col>
      <xdr:colOff>315965</xdr:colOff>
      <xdr:row>7</xdr:row>
      <xdr:rowOff>108097</xdr:rowOff>
    </xdr:to>
    <xdr:sp macro="" textlink="">
      <xdr:nvSpPr>
        <xdr:cNvPr id="9" name="TextBox 8">
          <a:extLst>
            <a:ext uri="{FF2B5EF4-FFF2-40B4-BE49-F238E27FC236}">
              <a16:creationId xmlns:a16="http://schemas.microsoft.com/office/drawing/2014/main" id="{DC9C5759-EC84-78E9-E675-AAE51A80257B}"/>
            </a:ext>
          </a:extLst>
        </xdr:cNvPr>
        <xdr:cNvSpPr txBox="1"/>
      </xdr:nvSpPr>
      <xdr:spPr>
        <a:xfrm>
          <a:off x="3991818" y="1265805"/>
          <a:ext cx="1215124"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aseline="0"/>
            <a:t> </a:t>
          </a:r>
          <a:r>
            <a:rPr lang="en-US" sz="1100" b="1" baseline="0"/>
            <a:t>Sales</a:t>
          </a:r>
          <a:endParaRPr lang="en-US" sz="1100" b="1"/>
        </a:p>
      </xdr:txBody>
    </xdr:sp>
    <xdr:clientData/>
  </xdr:twoCellAnchor>
  <xdr:twoCellAnchor>
    <xdr:from>
      <xdr:col>8</xdr:col>
      <xdr:colOff>457200</xdr:colOff>
      <xdr:row>5</xdr:row>
      <xdr:rowOff>179070</xdr:rowOff>
    </xdr:from>
    <xdr:to>
      <xdr:col>11</xdr:col>
      <xdr:colOff>0</xdr:colOff>
      <xdr:row>9</xdr:row>
      <xdr:rowOff>179070</xdr:rowOff>
    </xdr:to>
    <xdr:sp macro="" textlink="">
      <xdr:nvSpPr>
        <xdr:cNvPr id="10" name="Rectangle: Rounded Corners 9">
          <a:extLst>
            <a:ext uri="{FF2B5EF4-FFF2-40B4-BE49-F238E27FC236}">
              <a16:creationId xmlns:a16="http://schemas.microsoft.com/office/drawing/2014/main" id="{5E903DEE-DA49-4452-AF71-12DE0920818D}"/>
            </a:ext>
          </a:extLst>
        </xdr:cNvPr>
        <xdr:cNvSpPr/>
      </xdr:nvSpPr>
      <xdr:spPr>
        <a:xfrm>
          <a:off x="5334000" y="1093470"/>
          <a:ext cx="1371600" cy="731520"/>
        </a:xfrm>
        <a:prstGeom prst="roundRect">
          <a:avLst/>
        </a:prstGeom>
        <a:solidFill>
          <a:schemeClr val="bg1"/>
        </a:solidFill>
        <a:effectLst>
          <a:outerShdw blurRad="50800" dist="38100" dir="2700000" algn="tl" rotWithShape="0">
            <a:prstClr val="black">
              <a:alpha val="4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US" sz="1100"/>
        </a:p>
      </xdr:txBody>
    </xdr:sp>
    <xdr:clientData/>
  </xdr:twoCellAnchor>
  <xdr:twoCellAnchor>
    <xdr:from>
      <xdr:col>9</xdr:col>
      <xdr:colOff>53340</xdr:colOff>
      <xdr:row>6</xdr:row>
      <xdr:rowOff>175260</xdr:rowOff>
    </xdr:from>
    <xdr:to>
      <xdr:col>10</xdr:col>
      <xdr:colOff>274320</xdr:colOff>
      <xdr:row>7</xdr:row>
      <xdr:rowOff>106680</xdr:rowOff>
    </xdr:to>
    <xdr:sp macro="" textlink="">
      <xdr:nvSpPr>
        <xdr:cNvPr id="11" name="TextBox 10">
          <a:extLst>
            <a:ext uri="{FF2B5EF4-FFF2-40B4-BE49-F238E27FC236}">
              <a16:creationId xmlns:a16="http://schemas.microsoft.com/office/drawing/2014/main" id="{BD569FD4-3AF2-40CE-9FC9-D2646F052D3B}"/>
            </a:ext>
          </a:extLst>
        </xdr:cNvPr>
        <xdr:cNvSpPr txBox="1"/>
      </xdr:nvSpPr>
      <xdr:spPr>
        <a:xfrm>
          <a:off x="5539740" y="1272540"/>
          <a:ext cx="830580" cy="114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Won</a:t>
          </a:r>
          <a:r>
            <a:rPr lang="en-US" sz="1100" b="1" baseline="0"/>
            <a:t> Deals</a:t>
          </a:r>
          <a:endParaRPr lang="en-US" sz="1100" b="1"/>
        </a:p>
      </xdr:txBody>
    </xdr:sp>
    <xdr:clientData/>
  </xdr:twoCellAnchor>
  <xdr:twoCellAnchor>
    <xdr:from>
      <xdr:col>11</xdr:col>
      <xdr:colOff>30480</xdr:colOff>
      <xdr:row>5</xdr:row>
      <xdr:rowOff>179070</xdr:rowOff>
    </xdr:from>
    <xdr:to>
      <xdr:col>13</xdr:col>
      <xdr:colOff>182880</xdr:colOff>
      <xdr:row>9</xdr:row>
      <xdr:rowOff>179070</xdr:rowOff>
    </xdr:to>
    <xdr:sp macro="" textlink="PivotTables!D6">
      <xdr:nvSpPr>
        <xdr:cNvPr id="12" name="Rectangle: Rounded Corners 11">
          <a:extLst>
            <a:ext uri="{FF2B5EF4-FFF2-40B4-BE49-F238E27FC236}">
              <a16:creationId xmlns:a16="http://schemas.microsoft.com/office/drawing/2014/main" id="{927E68A0-6EAF-40A4-BE07-CCE26EB0D6DB}"/>
            </a:ext>
          </a:extLst>
        </xdr:cNvPr>
        <xdr:cNvSpPr/>
      </xdr:nvSpPr>
      <xdr:spPr>
        <a:xfrm>
          <a:off x="6736080" y="1093470"/>
          <a:ext cx="1371600" cy="731520"/>
        </a:xfrm>
        <a:prstGeom prst="roundRect">
          <a:avLst/>
        </a:prstGeom>
        <a:solidFill>
          <a:schemeClr val="bg1"/>
        </a:solidFill>
        <a:effectLst>
          <a:outerShdw blurRad="50800" dist="38100" dir="2700000" algn="tl" rotWithShape="0">
            <a:prstClr val="black">
              <a:alpha val="4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xdr:txBody>
    </xdr:sp>
    <xdr:clientData/>
  </xdr:twoCellAnchor>
  <xdr:twoCellAnchor>
    <xdr:from>
      <xdr:col>11</xdr:col>
      <xdr:colOff>228600</xdr:colOff>
      <xdr:row>6</xdr:row>
      <xdr:rowOff>152400</xdr:rowOff>
    </xdr:from>
    <xdr:to>
      <xdr:col>12</xdr:col>
      <xdr:colOff>525780</xdr:colOff>
      <xdr:row>7</xdr:row>
      <xdr:rowOff>114300</xdr:rowOff>
    </xdr:to>
    <xdr:sp macro="" textlink="">
      <xdr:nvSpPr>
        <xdr:cNvPr id="13" name="TextBox 12">
          <a:extLst>
            <a:ext uri="{FF2B5EF4-FFF2-40B4-BE49-F238E27FC236}">
              <a16:creationId xmlns:a16="http://schemas.microsoft.com/office/drawing/2014/main" id="{FDB0466E-780C-4106-A467-9A9FFDA6C192}"/>
            </a:ext>
          </a:extLst>
        </xdr:cNvPr>
        <xdr:cNvSpPr txBox="1"/>
      </xdr:nvSpPr>
      <xdr:spPr>
        <a:xfrm>
          <a:off x="6934200" y="1249680"/>
          <a:ext cx="906780"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aseline="0"/>
            <a:t> </a:t>
          </a:r>
          <a:r>
            <a:rPr lang="en-US" sz="1100" b="1" baseline="0"/>
            <a:t>Deals</a:t>
          </a:r>
          <a:endParaRPr lang="en-US" sz="1100" b="1"/>
        </a:p>
      </xdr:txBody>
    </xdr:sp>
    <xdr:clientData/>
  </xdr:twoCellAnchor>
  <xdr:twoCellAnchor>
    <xdr:from>
      <xdr:col>13</xdr:col>
      <xdr:colOff>422113</xdr:colOff>
      <xdr:row>6</xdr:row>
      <xdr:rowOff>166399</xdr:rowOff>
    </xdr:from>
    <xdr:to>
      <xdr:col>13</xdr:col>
      <xdr:colOff>1284769</xdr:colOff>
      <xdr:row>7</xdr:row>
      <xdr:rowOff>141768</xdr:rowOff>
    </xdr:to>
    <xdr:sp macro="" textlink="">
      <xdr:nvSpPr>
        <xdr:cNvPr id="15" name="TextBox 14">
          <a:extLst>
            <a:ext uri="{FF2B5EF4-FFF2-40B4-BE49-F238E27FC236}">
              <a16:creationId xmlns:a16="http://schemas.microsoft.com/office/drawing/2014/main" id="{46D1973D-1E2C-4965-A52E-6CB4BE2E9BD2}"/>
            </a:ext>
          </a:extLst>
        </xdr:cNvPr>
        <xdr:cNvSpPr txBox="1"/>
      </xdr:nvSpPr>
      <xdr:spPr>
        <a:xfrm>
          <a:off x="8369950" y="1282818"/>
          <a:ext cx="862656" cy="161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p>
      </xdr:txBody>
    </xdr:sp>
    <xdr:clientData/>
  </xdr:twoCellAnchor>
  <xdr:twoCellAnchor editAs="oneCell">
    <xdr:from>
      <xdr:col>1</xdr:col>
      <xdr:colOff>26581</xdr:colOff>
      <xdr:row>15</xdr:row>
      <xdr:rowOff>114479</xdr:rowOff>
    </xdr:from>
    <xdr:to>
      <xdr:col>4</xdr:col>
      <xdr:colOff>5671</xdr:colOff>
      <xdr:row>21</xdr:row>
      <xdr:rowOff>150628</xdr:rowOff>
    </xdr:to>
    <mc:AlternateContent xmlns:mc="http://schemas.openxmlformats.org/markup-compatibility/2006" xmlns:a14="http://schemas.microsoft.com/office/drawing/2010/main">
      <mc:Choice Requires="a14">
        <xdr:graphicFrame macro="">
          <xdr:nvGraphicFramePr>
            <xdr:cNvPr id="16" name="regional_office">
              <a:extLst>
                <a:ext uri="{FF2B5EF4-FFF2-40B4-BE49-F238E27FC236}">
                  <a16:creationId xmlns:a16="http://schemas.microsoft.com/office/drawing/2014/main" id="{2E280383-D5B5-2932-F67F-C63F3CE588A6}"/>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637953" y="2905526"/>
              <a:ext cx="1813206" cy="1152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252346</xdr:colOff>
      <xdr:row>6</xdr:row>
      <xdr:rowOff>3632</xdr:rowOff>
    </xdr:from>
    <xdr:to>
      <xdr:col>14</xdr:col>
      <xdr:colOff>327837</xdr:colOff>
      <xdr:row>10</xdr:row>
      <xdr:rowOff>17720</xdr:rowOff>
    </xdr:to>
    <xdr:sp macro="" textlink="PivotTables!E6">
      <xdr:nvSpPr>
        <xdr:cNvPr id="19" name="Rectangle: Rounded Corners 18">
          <a:extLst>
            <a:ext uri="{FF2B5EF4-FFF2-40B4-BE49-F238E27FC236}">
              <a16:creationId xmlns:a16="http://schemas.microsoft.com/office/drawing/2014/main" id="{21DEC46D-D53D-4CB4-B869-1EE6E5846D1A}"/>
            </a:ext>
          </a:extLst>
        </xdr:cNvPr>
        <xdr:cNvSpPr/>
      </xdr:nvSpPr>
      <xdr:spPr>
        <a:xfrm>
          <a:off x="8200183" y="1120051"/>
          <a:ext cx="1395701" cy="758367"/>
        </a:xfrm>
        <a:prstGeom prst="roundRect">
          <a:avLst/>
        </a:prstGeom>
        <a:solidFill>
          <a:schemeClr val="bg1"/>
        </a:solidFill>
        <a:effectLst>
          <a:outerShdw blurRad="50800" dist="38100" dir="2700000" algn="tl" rotWithShape="0">
            <a:prstClr val="black">
              <a:alpha val="4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endParaRPr lang="en-US" sz="1100"/>
        </a:p>
      </xdr:txBody>
    </xdr:sp>
    <xdr:clientData/>
  </xdr:twoCellAnchor>
  <xdr:twoCellAnchor>
    <xdr:from>
      <xdr:col>13</xdr:col>
      <xdr:colOff>425657</xdr:colOff>
      <xdr:row>7</xdr:row>
      <xdr:rowOff>8683</xdr:rowOff>
    </xdr:from>
    <xdr:to>
      <xdr:col>14</xdr:col>
      <xdr:colOff>44303</xdr:colOff>
      <xdr:row>7</xdr:row>
      <xdr:rowOff>132907</xdr:rowOff>
    </xdr:to>
    <xdr:sp macro="" textlink="">
      <xdr:nvSpPr>
        <xdr:cNvPr id="20" name="TextBox 19">
          <a:extLst>
            <a:ext uri="{FF2B5EF4-FFF2-40B4-BE49-F238E27FC236}">
              <a16:creationId xmlns:a16="http://schemas.microsoft.com/office/drawing/2014/main" id="{57559EA8-3FBE-4F84-A3F8-FE23AE8BAE02}"/>
            </a:ext>
          </a:extLst>
        </xdr:cNvPr>
        <xdr:cNvSpPr txBox="1"/>
      </xdr:nvSpPr>
      <xdr:spPr>
        <a:xfrm>
          <a:off x="8373494" y="1311171"/>
          <a:ext cx="938856" cy="124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Win</a:t>
          </a:r>
          <a:r>
            <a:rPr lang="en-US" sz="1100" b="1" baseline="0"/>
            <a:t> Rate %</a:t>
          </a:r>
          <a:endParaRPr lang="en-US" sz="1100" b="1"/>
        </a:p>
      </xdr:txBody>
    </xdr:sp>
    <xdr:clientData/>
  </xdr:twoCellAnchor>
  <xdr:twoCellAnchor>
    <xdr:from>
      <xdr:col>14</xdr:col>
      <xdr:colOff>354419</xdr:colOff>
      <xdr:row>5</xdr:row>
      <xdr:rowOff>164894</xdr:rowOff>
    </xdr:from>
    <xdr:to>
      <xdr:col>16</xdr:col>
      <xdr:colOff>327837</xdr:colOff>
      <xdr:row>10</xdr:row>
      <xdr:rowOff>26581</xdr:rowOff>
    </xdr:to>
    <xdr:sp macro="" textlink="PivotTables!G6">
      <xdr:nvSpPr>
        <xdr:cNvPr id="21" name="Rectangle: Rounded Corners 20">
          <a:extLst>
            <a:ext uri="{FF2B5EF4-FFF2-40B4-BE49-F238E27FC236}">
              <a16:creationId xmlns:a16="http://schemas.microsoft.com/office/drawing/2014/main" id="{59BACA2F-AECB-45AC-8C1C-7BEEE671283D}"/>
            </a:ext>
          </a:extLst>
        </xdr:cNvPr>
        <xdr:cNvSpPr/>
      </xdr:nvSpPr>
      <xdr:spPr>
        <a:xfrm>
          <a:off x="9622466" y="1095243"/>
          <a:ext cx="1479697" cy="792036"/>
        </a:xfrm>
        <a:prstGeom prst="roundRect">
          <a:avLst/>
        </a:prstGeom>
        <a:solidFill>
          <a:schemeClr val="bg1"/>
        </a:solidFill>
        <a:effectLst>
          <a:outerShdw blurRad="50800" dist="38100" dir="2700000" algn="tl" rotWithShape="0">
            <a:prstClr val="black">
              <a:alpha val="4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xdr:txBody>
    </xdr:sp>
    <xdr:clientData/>
  </xdr:twoCellAnchor>
  <xdr:twoCellAnchor>
    <xdr:from>
      <xdr:col>14</xdr:col>
      <xdr:colOff>416444</xdr:colOff>
      <xdr:row>6</xdr:row>
      <xdr:rowOff>26582</xdr:rowOff>
    </xdr:from>
    <xdr:to>
      <xdr:col>16</xdr:col>
      <xdr:colOff>283534</xdr:colOff>
      <xdr:row>8</xdr:row>
      <xdr:rowOff>17721</xdr:rowOff>
    </xdr:to>
    <xdr:sp macro="" textlink="">
      <xdr:nvSpPr>
        <xdr:cNvPr id="27" name="TextBox 26">
          <a:extLst>
            <a:ext uri="{FF2B5EF4-FFF2-40B4-BE49-F238E27FC236}">
              <a16:creationId xmlns:a16="http://schemas.microsoft.com/office/drawing/2014/main" id="{2F1352D8-F4F7-6062-3444-DCA200A43516}"/>
            </a:ext>
          </a:extLst>
        </xdr:cNvPr>
        <xdr:cNvSpPr txBox="1"/>
      </xdr:nvSpPr>
      <xdr:spPr>
        <a:xfrm>
          <a:off x="9684491" y="1143001"/>
          <a:ext cx="1373369" cy="36327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Average Cycle Days</a:t>
          </a:r>
        </a:p>
      </xdr:txBody>
    </xdr:sp>
    <xdr:clientData/>
  </xdr:twoCellAnchor>
  <xdr:twoCellAnchor>
    <xdr:from>
      <xdr:col>4</xdr:col>
      <xdr:colOff>372140</xdr:colOff>
      <xdr:row>11</xdr:row>
      <xdr:rowOff>115187</xdr:rowOff>
    </xdr:from>
    <xdr:to>
      <xdr:col>8</xdr:col>
      <xdr:colOff>70884</xdr:colOff>
      <xdr:row>21</xdr:row>
      <xdr:rowOff>159489</xdr:rowOff>
    </xdr:to>
    <xdr:graphicFrame macro="">
      <xdr:nvGraphicFramePr>
        <xdr:cNvPr id="17" name="Chart 16">
          <a:extLst>
            <a:ext uri="{FF2B5EF4-FFF2-40B4-BE49-F238E27FC236}">
              <a16:creationId xmlns:a16="http://schemas.microsoft.com/office/drawing/2014/main" id="{129F6AA9-DFFD-4B92-A5E1-1952DBD04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8859</xdr:colOff>
      <xdr:row>7</xdr:row>
      <xdr:rowOff>124045</xdr:rowOff>
    </xdr:from>
    <xdr:to>
      <xdr:col>10</xdr:col>
      <xdr:colOff>407581</xdr:colOff>
      <xdr:row>9</xdr:row>
      <xdr:rowOff>35440</xdr:rowOff>
    </xdr:to>
    <xdr:sp macro="" textlink="PivotTables!B68">
      <xdr:nvSpPr>
        <xdr:cNvPr id="18" name="TextBox 17">
          <a:extLst>
            <a:ext uri="{FF2B5EF4-FFF2-40B4-BE49-F238E27FC236}">
              <a16:creationId xmlns:a16="http://schemas.microsoft.com/office/drawing/2014/main" id="{D0D05A52-FB69-70DB-B728-6CE789EE508C}"/>
            </a:ext>
          </a:extLst>
        </xdr:cNvPr>
        <xdr:cNvSpPr txBox="1"/>
      </xdr:nvSpPr>
      <xdr:spPr>
        <a:xfrm>
          <a:off x="5511208" y="1426533"/>
          <a:ext cx="1010094" cy="2835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8122E7-9076-4759-8692-02EB283F456A}" type="TxLink">
            <a:rPr lang="en-US" sz="1400" b="0" i="0" u="none" strike="noStrike">
              <a:solidFill>
                <a:srgbClr val="000000"/>
              </a:solidFill>
              <a:latin typeface="Calibri"/>
              <a:ea typeface="Calibri"/>
              <a:cs typeface="Calibri"/>
            </a:rPr>
            <a:pPr algn="ctr"/>
            <a:t>4238</a:t>
          </a:fld>
          <a:endParaRPr lang="en-US" sz="1400"/>
        </a:p>
      </xdr:txBody>
    </xdr:sp>
    <xdr:clientData/>
  </xdr:twoCellAnchor>
  <xdr:twoCellAnchor>
    <xdr:from>
      <xdr:col>6</xdr:col>
      <xdr:colOff>460743</xdr:colOff>
      <xdr:row>8</xdr:row>
      <xdr:rowOff>8860</xdr:rowOff>
    </xdr:from>
    <xdr:to>
      <xdr:col>8</xdr:col>
      <xdr:colOff>150627</xdr:colOff>
      <xdr:row>9</xdr:row>
      <xdr:rowOff>26581</xdr:rowOff>
    </xdr:to>
    <xdr:sp macro="" textlink="PivotTables!D68">
      <xdr:nvSpPr>
        <xdr:cNvPr id="23" name="TextBox 22">
          <a:extLst>
            <a:ext uri="{FF2B5EF4-FFF2-40B4-BE49-F238E27FC236}">
              <a16:creationId xmlns:a16="http://schemas.microsoft.com/office/drawing/2014/main" id="{A5BE0183-E0FF-D126-263A-75285C3D4E82}"/>
            </a:ext>
          </a:extLst>
        </xdr:cNvPr>
        <xdr:cNvSpPr txBox="1"/>
      </xdr:nvSpPr>
      <xdr:spPr>
        <a:xfrm>
          <a:off x="4128976" y="1497418"/>
          <a:ext cx="912628" cy="2037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0E255B-A74A-4CA9-9491-FA27019C2B40}" type="TxLink">
            <a:rPr lang="en-US" sz="1400" b="0" i="0" u="none" strike="noStrike">
              <a:solidFill>
                <a:srgbClr val="000000"/>
              </a:solidFill>
              <a:latin typeface="Calibri"/>
              <a:ea typeface="Calibri"/>
              <a:cs typeface="Calibri"/>
            </a:rPr>
            <a:pPr algn="ctr"/>
            <a:t>$10,006K</a:t>
          </a:fld>
          <a:endParaRPr lang="en-US" sz="1400"/>
        </a:p>
      </xdr:txBody>
    </xdr:sp>
    <xdr:clientData/>
  </xdr:twoCellAnchor>
  <xdr:twoCellAnchor>
    <xdr:from>
      <xdr:col>11</xdr:col>
      <xdr:colOff>212651</xdr:colOff>
      <xdr:row>7</xdr:row>
      <xdr:rowOff>124046</xdr:rowOff>
    </xdr:from>
    <xdr:to>
      <xdr:col>12</xdr:col>
      <xdr:colOff>567070</xdr:colOff>
      <xdr:row>9</xdr:row>
      <xdr:rowOff>97465</xdr:rowOff>
    </xdr:to>
    <xdr:sp macro="" textlink="PivotTables!F68">
      <xdr:nvSpPr>
        <xdr:cNvPr id="24" name="TextBox 23">
          <a:extLst>
            <a:ext uri="{FF2B5EF4-FFF2-40B4-BE49-F238E27FC236}">
              <a16:creationId xmlns:a16="http://schemas.microsoft.com/office/drawing/2014/main" id="{85333D58-97A3-FAF1-75B3-CD76F5664B44}"/>
            </a:ext>
          </a:extLst>
        </xdr:cNvPr>
        <xdr:cNvSpPr txBox="1"/>
      </xdr:nvSpPr>
      <xdr:spPr>
        <a:xfrm>
          <a:off x="6937744" y="1426534"/>
          <a:ext cx="965791" cy="3455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1B01F5-8B8F-4918-92FE-9DE514056767}" type="TxLink">
            <a:rPr lang="en-US" sz="1400" b="0" i="0" u="none" strike="noStrike">
              <a:solidFill>
                <a:srgbClr val="000000"/>
              </a:solidFill>
              <a:latin typeface="Calibri"/>
              <a:ea typeface="Calibri"/>
              <a:cs typeface="Calibri"/>
            </a:rPr>
            <a:pPr algn="ctr"/>
            <a:t>8800</a:t>
          </a:fld>
          <a:endParaRPr lang="en-US" sz="1400"/>
        </a:p>
      </xdr:txBody>
    </xdr:sp>
    <xdr:clientData/>
  </xdr:twoCellAnchor>
  <xdr:oneCellAnchor>
    <xdr:from>
      <xdr:col>18</xdr:col>
      <xdr:colOff>859465</xdr:colOff>
      <xdr:row>5</xdr:row>
      <xdr:rowOff>124046</xdr:rowOff>
    </xdr:from>
    <xdr:ext cx="184731" cy="264560"/>
    <xdr:sp macro="" textlink="">
      <xdr:nvSpPr>
        <xdr:cNvPr id="25" name="TextBox 24">
          <a:extLst>
            <a:ext uri="{FF2B5EF4-FFF2-40B4-BE49-F238E27FC236}">
              <a16:creationId xmlns:a16="http://schemas.microsoft.com/office/drawing/2014/main" id="{82153AA8-ED71-35D3-DB2B-747812167FB7}"/>
            </a:ext>
          </a:extLst>
        </xdr:cNvPr>
        <xdr:cNvSpPr txBox="1"/>
      </xdr:nvSpPr>
      <xdr:spPr>
        <a:xfrm>
          <a:off x="13290698" y="10543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13</xdr:col>
      <xdr:colOff>496186</xdr:colOff>
      <xdr:row>7</xdr:row>
      <xdr:rowOff>159488</xdr:rowOff>
    </xdr:from>
    <xdr:to>
      <xdr:col>13</xdr:col>
      <xdr:colOff>1205024</xdr:colOff>
      <xdr:row>9</xdr:row>
      <xdr:rowOff>80210</xdr:rowOff>
    </xdr:to>
    <xdr:sp macro="" textlink="PivotTables!H68">
      <xdr:nvSpPr>
        <xdr:cNvPr id="26" name="TextBox 25">
          <a:extLst>
            <a:ext uri="{FF2B5EF4-FFF2-40B4-BE49-F238E27FC236}">
              <a16:creationId xmlns:a16="http://schemas.microsoft.com/office/drawing/2014/main" id="{7096E2F3-A0AA-0C8A-915A-84B732428496}"/>
            </a:ext>
          </a:extLst>
        </xdr:cNvPr>
        <xdr:cNvSpPr txBox="1"/>
      </xdr:nvSpPr>
      <xdr:spPr>
        <a:xfrm>
          <a:off x="8447054" y="1422804"/>
          <a:ext cx="708838" cy="2816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5F077B-7C65-481E-AE4C-18FD2E6F70B8}" type="TxLink">
            <a:rPr lang="en-US" sz="1400" b="0" i="0" u="none" strike="noStrike">
              <a:solidFill>
                <a:srgbClr val="000000"/>
              </a:solidFill>
              <a:latin typeface="Calibri"/>
              <a:ea typeface="Calibri"/>
              <a:cs typeface="Calibri"/>
            </a:rPr>
            <a:pPr algn="ctr"/>
            <a:t>48.16%</a:t>
          </a:fld>
          <a:endParaRPr lang="en-US" sz="1400"/>
        </a:p>
      </xdr:txBody>
    </xdr:sp>
    <xdr:clientData/>
  </xdr:twoCellAnchor>
  <xdr:twoCellAnchor>
    <xdr:from>
      <xdr:col>14</xdr:col>
      <xdr:colOff>567070</xdr:colOff>
      <xdr:row>7</xdr:row>
      <xdr:rowOff>150628</xdr:rowOff>
    </xdr:from>
    <xdr:to>
      <xdr:col>16</xdr:col>
      <xdr:colOff>132908</xdr:colOff>
      <xdr:row>9</xdr:row>
      <xdr:rowOff>79744</xdr:rowOff>
    </xdr:to>
    <xdr:sp macro="" textlink="PivotTables!J68">
      <xdr:nvSpPr>
        <xdr:cNvPr id="28" name="TextBox 27">
          <a:extLst>
            <a:ext uri="{FF2B5EF4-FFF2-40B4-BE49-F238E27FC236}">
              <a16:creationId xmlns:a16="http://schemas.microsoft.com/office/drawing/2014/main" id="{EBEF2B24-5387-CD7D-EA86-B217D5E796B8}"/>
            </a:ext>
          </a:extLst>
        </xdr:cNvPr>
        <xdr:cNvSpPr txBox="1"/>
      </xdr:nvSpPr>
      <xdr:spPr>
        <a:xfrm>
          <a:off x="9835117" y="1453116"/>
          <a:ext cx="1072117" cy="30125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CD0D8-98CF-4108-A736-120DC6B9FA23}" type="TxLink">
            <a:rPr lang="en-US" sz="1400" b="0" i="0" u="none" strike="noStrike">
              <a:solidFill>
                <a:srgbClr val="000000"/>
              </a:solidFill>
              <a:latin typeface="Calibri"/>
              <a:ea typeface="Calibri"/>
              <a:cs typeface="Calibri"/>
            </a:rPr>
            <a:pPr algn="ctr"/>
            <a:t>48.0</a:t>
          </a:fld>
          <a:endParaRPr lang="en-US" sz="1400"/>
        </a:p>
      </xdr:txBody>
    </xdr:sp>
    <xdr:clientData/>
  </xdr:twoCellAnchor>
  <xdr:twoCellAnchor editAs="oneCell">
    <xdr:from>
      <xdr:col>1</xdr:col>
      <xdr:colOff>17720</xdr:colOff>
      <xdr:row>9</xdr:row>
      <xdr:rowOff>8861</xdr:rowOff>
    </xdr:from>
    <xdr:to>
      <xdr:col>4</xdr:col>
      <xdr:colOff>62023</xdr:colOff>
      <xdr:row>14</xdr:row>
      <xdr:rowOff>150628</xdr:rowOff>
    </xdr:to>
    <mc:AlternateContent xmlns:mc="http://schemas.openxmlformats.org/markup-compatibility/2006" xmlns:a14="http://schemas.microsoft.com/office/drawing/2010/main">
      <mc:Choice Requires="a14">
        <xdr:graphicFrame macro="">
          <xdr:nvGraphicFramePr>
            <xdr:cNvPr id="29" name="Month_Sort">
              <a:extLst>
                <a:ext uri="{FF2B5EF4-FFF2-40B4-BE49-F238E27FC236}">
                  <a16:creationId xmlns:a16="http://schemas.microsoft.com/office/drawing/2014/main" id="{1E17E996-C1FB-47FB-8A24-9A234326F78D}"/>
                </a:ext>
              </a:extLst>
            </xdr:cNvPr>
            <xdr:cNvGraphicFramePr/>
          </xdr:nvGraphicFramePr>
          <xdr:xfrm>
            <a:off x="0" y="0"/>
            <a:ext cx="0" cy="0"/>
          </xdr:xfrm>
          <a:graphic>
            <a:graphicData uri="http://schemas.microsoft.com/office/drawing/2010/slicer">
              <sle:slicer xmlns:sle="http://schemas.microsoft.com/office/drawing/2010/slicer" name="Month_Sort"/>
            </a:graphicData>
          </a:graphic>
        </xdr:graphicFrame>
      </mc:Choice>
      <mc:Fallback xmlns="">
        <xdr:sp macro="" textlink="">
          <xdr:nvSpPr>
            <xdr:cNvPr id="0" name=""/>
            <xdr:cNvSpPr>
              <a:spLocks noTextEdit="1"/>
            </xdr:cNvSpPr>
          </xdr:nvSpPr>
          <xdr:spPr>
            <a:xfrm>
              <a:off x="629092" y="1683489"/>
              <a:ext cx="1878419" cy="1072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78935184" backgroundQuery="1" createdVersion="8" refreshedVersion="8" minRefreshableVersion="3" recordCount="0" supportSubquery="1" supportAdvancedDrill="1" xr:uid="{21D54E0F-E1DC-4D6B-8DEC-4DDA99B28981}">
  <cacheSource type="external" connectionId="6"/>
  <cacheFields count="4">
    <cacheField name="[Sales_Pipeline].[deal_stage].[deal_stage]" caption="deal_stage" numFmtId="0" hierarchy="21" level="1">
      <sharedItems count="4">
        <s v="Engaging"/>
        <s v="Lost"/>
        <s v="Prospecting"/>
        <s v="Won"/>
      </sharedItems>
    </cacheField>
    <cacheField name="[Measures].[Count of opportunity_id]" caption="Count of opportunity_id" numFmtId="0" hierarchy="31"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3"/>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1"/>
      </fieldsUsage>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79513892" backgroundQuery="1" createdVersion="8" refreshedVersion="8" minRefreshableVersion="3" recordCount="0" supportSubquery="1" supportAdvancedDrill="1" xr:uid="{95B3BB12-B785-4D06-87CE-C32DD0CAC2D9}">
  <cacheSource type="external" connectionId="6"/>
  <cacheFields count="5">
    <cacheField name="[Measures].[Total_Sales]" caption="Total_Sales" numFmtId="0" hierarchy="32" level="32767"/>
    <cacheField name="[Sales_Pipeline].[close_date].[close_date]" caption="close_date" numFmtId="0" hierarchy="23" level="1">
      <sharedItems containsSemiMixedTypes="0" containsNonDate="0" containsDate="1" containsString="0" minDate="2017-03-01T00:00:00" maxDate="2018-01-01T00:00:00" count="306">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sharedItems>
    </cacheField>
    <cacheField name="[Sales_Pipeline].[close_date (Month)].[close_date (Month)]" caption="close_date (Month)" numFmtId="0" hierarchy="25" level="1">
      <sharedItems count="10">
        <s v="Mar"/>
        <s v="Apr"/>
        <s v="May"/>
        <s v="Jun"/>
        <s v="Jul"/>
        <s v="Aug"/>
        <s v="Sep"/>
        <s v="Oct"/>
        <s v="Nov"/>
        <s v="Dec"/>
      </sharedItems>
    </cacheField>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fieldsUsage count="2">
        <fieldUsage x="-1"/>
        <fieldUsage x="2"/>
      </fieldsUsage>
    </cacheHierarchy>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4"/>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0"/>
      </fieldsUsage>
    </cacheHierarchy>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0092593" backgroundQuery="1" createdVersion="8" refreshedVersion="8" minRefreshableVersion="3" recordCount="0" supportSubquery="1" supportAdvancedDrill="1" xr:uid="{9994C337-2718-43CF-8E9C-1E13E8BB3208}">
  <cacheSource type="external" connectionId="6"/>
  <cacheFields count="5">
    <cacheField name="[Products].[product].[product]" caption="product" numFmtId="0" hierarchy="14" level="1">
      <sharedItems count="7">
        <s v="GTK 500"/>
        <s v="GTX Basic"/>
        <s v="GTX Plus Basic"/>
        <s v="GTX Plus Pro"/>
        <s v="GTX Pro"/>
        <s v="MG Advanced"/>
        <s v="MG Special"/>
      </sharedItems>
    </cacheField>
    <cacheField name="[Measures].[Total_Sales]" caption="Total_Sales" numFmtId="0" hierarchy="32" level="32767"/>
    <cacheField name="[Sales_Pipeline].[engage_date].[engage_date]" caption="engage_date" numFmtId="0" hierarchy="22" level="1">
      <sharedItems containsSemiMixedTypes="0" containsNonDate="0" containsString="0"/>
    </cacheField>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2" memberValueDatatype="7" unbalanced="0">
      <fieldsUsage count="2">
        <fieldUsage x="-1"/>
        <fieldUsage x="2"/>
      </fieldsUsage>
    </cacheHierarchy>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4"/>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1"/>
      </fieldsUsage>
    </cacheHierarchy>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0439816" backgroundQuery="1" createdVersion="8" refreshedVersion="8" minRefreshableVersion="3" recordCount="0" supportSubquery="1" supportAdvancedDrill="1" xr:uid="{CEC0F96B-BFD1-41B6-9F20-44A769E527B6}">
  <cacheSource type="external" connectionId="6"/>
  <cacheFields count="5">
    <cacheField name="[Sales_Team].[sales_agent].[sales_agent]" caption="sales_agent" numFmtId="0" hierarchy="27" level="1">
      <sharedItems count="10">
        <s v="Anna Snelling"/>
        <s v="Cecily Lampkin"/>
        <s v="Darcel Schlecht"/>
        <s v="Gladys Colclough"/>
        <s v="Jonathan Berthelot"/>
        <s v="Lajuana Vencill"/>
        <s v="Marty Freudenburg"/>
        <s v="Moses Frase"/>
        <s v="Niesha Huffines"/>
        <s v="Versie Hillebrand"/>
      </sharedItems>
    </cacheField>
    <cacheField name="[Measures].[Total_Sales]" caption="Total_Sales" numFmtId="0" hierarchy="32" level="32767"/>
    <cacheField name="[Accounts].[account].[account]" caption="account" numFmtId="0" level="1">
      <sharedItems count="10">
        <s v="Cheers"/>
        <s v="Condax"/>
        <s v="Goodsilron"/>
        <s v="Hottechi"/>
        <s v="Isdom"/>
        <s v="Kan-code"/>
        <s v="Konex"/>
        <s v="Treequote"/>
        <s v="Warephase"/>
        <s v="Xx-holding"/>
      </sharedItems>
    </cacheField>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2" memberValueDatatype="130" unbalanced="0">
      <fieldsUsage count="2">
        <fieldUsage x="-1"/>
        <fieldUsage x="2"/>
      </fieldsUsage>
    </cacheHierarchy>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2" memberValueDatatype="130" unbalanced="0">
      <fieldsUsage count="2">
        <fieldUsage x="-1"/>
        <fieldUsage x="0"/>
      </fieldsUsage>
    </cacheHierarchy>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4"/>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1"/>
      </fieldsUsage>
    </cacheHierarchy>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0787039" backgroundQuery="1" createdVersion="8" refreshedVersion="8" minRefreshableVersion="3" recordCount="0" supportSubquery="1" supportAdvancedDrill="1" xr:uid="{3CF0EEC3-EB47-4987-8F93-21ACF442471D}">
  <cacheSource type="external" connectionId="6"/>
  <cacheFields count="4">
    <cacheField name="[Measures].[Average_Sales_Cycle]" caption="Average_Sales_Cycle" numFmtId="0" hierarchy="37" level="32767"/>
    <cacheField name="[Sales_Pipeline].[deal_stage].[deal_stage]" caption="deal_stage" numFmtId="0" hierarchy="21" level="1">
      <sharedItems count="2">
        <s v="Lost"/>
        <s v="Won"/>
      </sharedItems>
    </cacheField>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3"/>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oneField="1">
      <fieldsUsage count="1">
        <fieldUsage x="0"/>
      </fieldsUsage>
    </cacheHierarchy>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250001" backgroundQuery="1" createdVersion="8" refreshedVersion="8" minRefreshableVersion="3" recordCount="0" supportSubquery="1" supportAdvancedDrill="1" xr:uid="{ABCBE9A9-CE6B-47C1-BC9C-790045E93686}">
  <cacheSource type="external" connectionId="6"/>
  <cacheFields count="8">
    <cacheField name="[Sales_Team].[sales_agent].[sales_agent]" caption="sales_agent" numFmtId="0" hierarchy="27" level="1">
      <sharedItems count="10">
        <s v="Cassey Cress"/>
        <s v="Corliss Cosme"/>
        <s v="Daniell Hammack"/>
        <s v="Darcel Schlecht"/>
        <s v="Donn Cantrell"/>
        <s v="James Ascencio"/>
        <s v="Kary Hendrixson"/>
        <s v="Reed Clapper"/>
        <s v="Vicki Laflamme"/>
        <s v="Zane Levy"/>
      </sharedItems>
    </cacheField>
    <cacheField name="[Measures].[Total_Sales]" caption="Total_Sales" numFmtId="0" hierarchy="32" level="32767"/>
    <cacheField name="[Measures].[Won_ Deals]" caption="Won_ Deals" numFmtId="0" hierarchy="34" level="32767"/>
    <cacheField name="[Measures].[Win_Rate%]" caption="Win_Rate%" numFmtId="0" hierarchy="36" level="32767"/>
    <cacheField name="[Measures].[Average_Sales_Cycle]" caption="Average_Sales_Cycle" numFmtId="0" hierarchy="37" level="32767"/>
    <cacheField name="[Measures].[Average_Deal_Value]" caption="Average_Deal_Value" numFmtId="0" hierarchy="35"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6"/>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2" memberValueDatatype="130" unbalanced="0">
      <fieldsUsage count="2">
        <fieldUsage x="-1"/>
        <fieldUsage x="0"/>
      </fieldsUsage>
    </cacheHierarchy>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7"/>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1"/>
      </fieldsUsage>
    </cacheHierarchy>
    <cacheHierarchy uniqueName="[Measures].[Total_ Deals]" caption="Total_ Deals" measure="1" displayFolder="" measureGroup="Sales_Pipeline" count="0"/>
    <cacheHierarchy uniqueName="[Measures].[Won_ Deals]" caption="Won_ Deals" measure="1" displayFolder="" measureGroup="Sales_Pipeline" count="0" oneField="1">
      <fieldsUsage count="1">
        <fieldUsage x="2"/>
      </fieldsUsage>
    </cacheHierarchy>
    <cacheHierarchy uniqueName="[Measures].[Average_Deal_Value]" caption="Average_Deal_Value" measure="1" displayFolder="" measureGroup="Sales_Pipeline" count="0" oneField="1">
      <fieldsUsage count="1">
        <fieldUsage x="5"/>
      </fieldsUsage>
    </cacheHierarchy>
    <cacheHierarchy uniqueName="[Measures].[Win_Rate%]" caption="Win_Rate%" measure="1" displayFolder="" measureGroup="Sales_Pipeline" count="0" oneField="1">
      <fieldsUsage count="1">
        <fieldUsage x="3"/>
      </fieldsUsage>
    </cacheHierarchy>
    <cacheHierarchy uniqueName="[Measures].[Average_Sales_Cycle]" caption="Average_Sales_Cycle" measure="1" displayFolder="" measureGroup="Sales_Pipeline" count="0" oneField="1">
      <fieldsUsage count="1">
        <fieldUsage x="4"/>
      </fieldsUsage>
    </cacheHierarchy>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250001" backgroundQuery="1" createdVersion="8" refreshedVersion="8" minRefreshableVersion="3" recordCount="0" supportSubquery="1" supportAdvancedDrill="1" xr:uid="{C5222B62-4F2B-4919-B3B9-82D2091B9CFA}">
  <cacheSource type="external" connectionId="6"/>
  <cacheFields count="3">
    <cacheField name="[Measures].[Total_Sales]" caption="Total_Sales" numFmtId="0" hierarchy="32"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0"/>
      </fieldsUsage>
    </cacheHierarchy>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36574" backgroundQuery="1" createdVersion="8" refreshedVersion="8" minRefreshableVersion="3" recordCount="0" supportSubquery="1" supportAdvancedDrill="1" xr:uid="{BFFC2695-A588-4DA5-857D-113EB8366B6A}">
  <cacheSource type="external" connectionId="6"/>
  <cacheFields count="3">
    <cacheField name="[Measures].[Won_ Deals]" caption="Won_ Deals" numFmtId="0" hierarchy="34"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oneField="1">
      <fieldsUsage count="1">
        <fieldUsage x="0"/>
      </fieldsUsage>
    </cacheHierarchy>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597224" backgroundQuery="1" createdVersion="8" refreshedVersion="8" minRefreshableVersion="3" recordCount="0" supportSubquery="1" supportAdvancedDrill="1" xr:uid="{B2D6D5D5-1BD0-48E7-A751-27AF7A53EC98}">
  <cacheSource type="external" connectionId="6"/>
  <cacheFields count="3">
    <cacheField name="[Measures].[Total_Sales]" caption="Total_Sales" numFmtId="0" hierarchy="32"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oneField="1">
      <fieldsUsage count="1">
        <fieldUsage x="0"/>
      </fieldsUsage>
    </cacheHierarchy>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712963" backgroundQuery="1" createdVersion="8" refreshedVersion="8" minRefreshableVersion="3" recordCount="0" supportSubquery="1" supportAdvancedDrill="1" xr:uid="{7BDCB0F9-D646-4642-AF16-9E5021993E0C}">
  <cacheSource type="external" connectionId="6"/>
  <cacheFields count="3">
    <cacheField name="[Measures].[Total_ Deals]" caption="Total_ Deals" numFmtId="0" hierarchy="33"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oneField="1">
      <fieldsUsage count="1">
        <fieldUsage x="0"/>
      </fieldsUsage>
    </cacheHierarchy>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1944448" backgroundQuery="1" createdVersion="8" refreshedVersion="8" minRefreshableVersion="3" recordCount="0" supportSubquery="1" supportAdvancedDrill="1" xr:uid="{27A07605-9B56-4E76-8398-D54D5E07C9AC}">
  <cacheSource type="external" connectionId="6"/>
  <cacheFields count="3">
    <cacheField name="[Measures].[Win_Rate%]" caption="Win_Rate%" numFmtId="0" hierarchy="36"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oneField="1">
      <fieldsUsage count="1">
        <fieldUsage x="0"/>
      </fieldsUsage>
    </cacheHierarchy>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63982060186" backgroundQuery="1" createdVersion="8" refreshedVersion="8" minRefreshableVersion="3" recordCount="0" supportSubquery="1" supportAdvancedDrill="1" xr:uid="{3763F8CA-7BDD-485D-8140-FF355604F581}">
  <cacheSource type="external" connectionId="6"/>
  <cacheFields count="3">
    <cacheField name="[Measures].[Average_Sales_Cycle]" caption="Average_Sales_Cycle" numFmtId="0" hierarchy="37" level="32767"/>
    <cacheField name="[Date].[Month].[Month]" caption="Month" numFmtId="0" hierarchy="11" level="1">
      <sharedItems containsSemiMixedTypes="0" containsNonDate="0" containsString="0"/>
    </cacheField>
    <cacheField name="[Sales_Team].[regional_office].[regional_office]" caption="regional_office" numFmtId="0" hierarchy="29" level="1">
      <sharedItems containsSemiMixedTypes="0" containsNonDate="0" containsString="0"/>
    </cacheField>
  </cacheFields>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fieldsUsage count="2">
        <fieldUsage x="-1"/>
        <fieldUsage x="2"/>
      </fieldsUsage>
    </cacheHierarchy>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oneField="1">
      <fieldsUsage count="1">
        <fieldUsage x="0"/>
      </fieldsUsage>
    </cacheHierarchy>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 uniqueName="[Accounts]" caption="Accounts"/>
    <dimension name="Date" uniqueName="[Date]" caption="Date"/>
    <dimension measure="1" name="Measures" uniqueName="[Measures]" caption="Measures"/>
    <dimension name="Products" uniqueName="[Products]" caption="Products"/>
    <dimension name="Sales_Pipeline" uniqueName="[Sales_Pipeline]" caption="Sales_Pipeline"/>
    <dimension name="Sales_Team" uniqueName="[Sales_Team]" caption="Sales_Team"/>
  </dimensions>
  <measureGroups count="5">
    <measureGroup name="Accounts" caption="Accounts"/>
    <measureGroup name="Date" caption="Date"/>
    <measureGroup name="Products" caption="Products"/>
    <measureGroup name="Sales_Pipeline" caption="Sales_Pipeline"/>
    <measureGroup name="Sales_Team" caption="Sales_Tea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user" refreshedDate="46214.525364583336" backgroundQuery="1" createdVersion="3" refreshedVersion="8" minRefreshableVersion="3" recordCount="0" supportSubquery="1" supportAdvancedDrill="1" xr:uid="{8B3E42B5-6180-43ED-BDE8-665BE4172C50}">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o]" caption="Month No" attribute="1" defaultMemberUniqueName="[Date].[Month No].[All]" allUniqueName="[Date].[Month No].[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Month_Sort]" caption="Month_Sort" attribute="1" defaultMemberUniqueName="[Date].[Month_Sort].[All]" allUniqueName="[Date].[Month_Sort].[All]" dimensionUniqueName="[Date]" displayFolder="" count="2"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Sales_Cycle_Days]" caption="Sales_Cycle_Days" attribute="1" defaultMemberUniqueName="[Sales_Pipeline].[Sales_Cycle_Days].[All]" allUniqueName="[Sales_Pipeline].[Sales_Cycle_Days].[All]" dimensionUniqueName="[Sales_Pipeline]" displayFolder="" count="0" memberValueDatatype="20" unbalanced="0"/>
    <cacheHierarchy uniqueName="[Sales_Team].[sales_agent]" caption="sales_agent" attribute="1" defaultMemberUniqueName="[Sales_Team].[sales_agent].[All]" allUniqueName="[Sales_Team].[sales_agent].[All]" dimensionUniqueName="[Sales_Team]" displayFolder="" count="0" memberValueDatatype="130" unbalanced="0"/>
    <cacheHierarchy uniqueName="[Sales_Team].[manager]" caption="manager" attribute="1" defaultMemberUniqueName="[Sales_Team].[manager].[All]" allUniqueName="[Sales_Team].[manager].[All]" dimensionUniqueName="[Sales_Team]" displayFolder="" count="0" memberValueDatatype="130" unbalanced="0"/>
    <cacheHierarchy uniqueName="[Sales_Team].[regional_office]" caption="regional_office" attribute="1" defaultMemberUniqueName="[Sales_Team].[regional_office].[All]" allUniqueName="[Sales_Team].[regional_office].[All]" dimensionUniqueName="[Sales_Team]"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7"/>
        </ext>
      </extLst>
    </cacheHierarchy>
    <cacheHierarchy uniqueName="[Measures].[Total_Sales]" caption="Total_Sales" measure="1" displayFolder="" measureGroup="Sales_Pipeline" count="0"/>
    <cacheHierarchy uniqueName="[Measures].[Total_ Deals]" caption="Total_ Deals" measure="1" displayFolder="" measureGroup="Sales_Pipeline" count="0"/>
    <cacheHierarchy uniqueName="[Measures].[Won_ Deals]" caption="Won_ Deals" measure="1" displayFolder="" measureGroup="Sales_Pipeline" count="0"/>
    <cacheHierarchy uniqueName="[Measures].[Average_Deal_Value]" caption="Average_Deal_Value" measure="1" displayFolder="" measureGroup="Sales_Pipeline" count="0"/>
    <cacheHierarchy uniqueName="[Measures].[Win_Rate%]" caption="Win_Rate%" measure="1" displayFolder="" measureGroup="Sales_Pipeline" count="0"/>
    <cacheHierarchy uniqueName="[Measures].[Average_Sales_Cycle]" caption="Average_Sales_Cycl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 caption="__XL_Count Sales_Team" measure="1" displayFolder="" measureGroup="Sales_Team"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76855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D7B9E-53CD-4B39-A263-76A749518C90}" name="Average_Sales_Cycle" cacheId="11" applyNumberFormats="0" applyBorderFormats="0" applyFontFormats="0" applyPatternFormats="0" applyAlignmentFormats="0" applyWidthHeightFormats="1" dataCaption="Values" tag="816c7ce5-66b9-4a79-b665-d65ca2e7fe2e" updatedVersion="8" minRefreshableVersion="3" useAutoFormatting="1" itemPrintTitles="1" createdVersion="8" indent="0" outline="1" outlineData="1" multipleFieldFilters="0">
  <location ref="J67:J6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3C11A-CC7D-4A2C-8A4A-73FBC237B82B}" name="Win_Rate%" cacheId="10" applyNumberFormats="0" applyBorderFormats="0" applyFontFormats="0" applyPatternFormats="0" applyAlignmentFormats="0" applyWidthHeightFormats="1" dataCaption="Values" tag="666f6a3f-9dfd-4902-8c55-9924e3ed0495" updatedVersion="8" minRefreshableVersion="3" useAutoFormatting="1" itemPrintTitles="1" createdVersion="8" indent="0" outline="1" outlineData="1" multipleFieldFilters="0">
  <location ref="H67:H6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1D7EB-AC10-4D1E-A7AF-25A4CF3BE8D0}" name="Total_Sales" cacheId="8" applyNumberFormats="0" applyBorderFormats="0" applyFontFormats="0" applyPatternFormats="0" applyAlignmentFormats="0" applyWidthHeightFormats="1" dataCaption="Values" tag="a66cff24-481f-4a3a-80d8-0d0bf0aef5cd" updatedVersion="8" minRefreshableVersion="3" useAutoFormatting="1" subtotalHiddenItems="1" itemPrintTitles="1" createdVersion="8" indent="0" outline="1" outlineData="1" multipleFieldFilters="0">
  <location ref="D67:D6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FBC93A-5BD7-4C29-AD68-2ABA06BB6CC3}" name="Won_Deal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7:B6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65465-5F09-4833-B58D-0CDCAF51C535}" name="Sales by Top Clients" cacheId="3" applyNumberFormats="0" applyBorderFormats="0" applyFontFormats="0" applyPatternFormats="0" applyAlignmentFormats="0" applyWidthHeightFormats="1" dataCaption="Values" tag="f7760951-8a64-4c53-b168-bcb15c000363" updatedVersion="8" minRefreshableVersion="3" useAutoFormatting="1" subtotalHiddenItems="1" itemPrintTitles="1" createdVersion="8" indent="0" outline="1" outlineData="1" multipleFieldFilters="0" chartFormat="14">
  <location ref="L26:M37" firstHeaderRow="1" firstDataRow="1" firstDataCol="1"/>
  <pivotFields count="5">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5"/>
    </i>
    <i>
      <x v="6"/>
    </i>
    <i>
      <x v="1"/>
    </i>
    <i>
      <x/>
    </i>
    <i>
      <x v="3"/>
    </i>
    <i>
      <x v="2"/>
    </i>
    <i>
      <x v="7"/>
    </i>
    <i>
      <x v="8"/>
    </i>
    <i>
      <x v="9"/>
    </i>
    <i>
      <x v="4"/>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2">
      <autoFilter ref="A1">
        <filterColumn colId="0">
          <top10 val="10" filterVal="10"/>
        </filterColumn>
      </autoFilter>
    </filter>
    <filter fld="2" type="count" id="2" iMeasureHier="32">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
        <x15:activeTabTopLevelEntity name="[Sales_Pipeline]"/>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A6EEBC-2D92-4323-9D51-7151EBA072D7}" name="Sales by Product" cacheId="2" applyNumberFormats="0" applyBorderFormats="0" applyFontFormats="0" applyPatternFormats="0" applyAlignmentFormats="0" applyWidthHeightFormats="1" dataCaption="Values" tag="bc08b76f-35e8-408f-b33f-39fce018d402" updatedVersion="8" minRefreshableVersion="3" useAutoFormatting="1" subtotalHiddenItems="1" itemPrintTitles="1" createdVersion="8" indent="0" outline="1" outlineData="1" multipleFieldFilters="0" chartFormat="9">
  <location ref="B34:C42" firstHeaderRow="1" firstDataRow="1" firstDataCol="1"/>
  <pivotFields count="5">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6"/>
    </i>
    <i>
      <x/>
    </i>
    <i>
      <x v="1"/>
    </i>
    <i>
      <x v="2"/>
    </i>
    <i>
      <x v="5"/>
    </i>
    <i>
      <x v="3"/>
    </i>
    <i>
      <x v="4"/>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ipeline].[engage_date].&amp;[2016-10-30T00:00:00]"/>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Products]"/>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F930BE-7C6F-4298-916D-58A200827E77}" name="Total_Deals" cacheId="9" applyNumberFormats="0" applyBorderFormats="0" applyFontFormats="0" applyPatternFormats="0" applyAlignmentFormats="0" applyWidthHeightFormats="1" dataCaption="Values" tag="dd591709-bdef-4864-aa1b-cf109a8a608b" updatedVersion="8" minRefreshableVersion="3" useAutoFormatting="1" itemPrintTitles="1" createdVersion="8" indent="0" outline="1" outlineData="1" multipleFieldFilters="0">
  <location ref="F67:F6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82790C-404D-4A5D-8DE6-2CE2FA910128}" name="Revenue Trend" cacheId="1" applyNumberFormats="0" applyBorderFormats="0" applyFontFormats="0" applyPatternFormats="0" applyAlignmentFormats="0" applyWidthHeightFormats="1" dataCaption="Values" tag="3e32b97d-5562-47fc-bc00-49fc895d3447" updatedVersion="8" minRefreshableVersion="3" useAutoFormatting="1" subtotalHiddenItems="1" itemPrintTitles="1" createdVersion="8" indent="0" outline="1" outlineData="1" multipleFieldFilters="0" chartFormat="6">
  <location ref="B10:C21" firstHeaderRow="1" firstDataRow="1" firstDataCol="1"/>
  <pivotFields count="5">
    <pivotField dataField="1" subtotalTop="0" showAll="0" defaultSubtotal="0"/>
    <pivotField axis="axisRow" allDrilled="1" subtotalTop="0" showAll="0" dataSourceSort="1" defaultSubtotal="0" defaultAttributeDrillState="1">
      <items count="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s>
    </pivotField>
    <pivotField axis="axisRow" allDrilled="1" subtotalTop="0" showAll="0" dataSourceSort="1" defaultSubtotal="0">
      <items count="10">
        <item x="0" e="0"/>
        <item x="1" e="0"/>
        <item x="2" e="0"/>
        <item x="3" e="0"/>
        <item x="4" e="0"/>
        <item x="5" e="0"/>
        <item x="6" e="0"/>
        <item x="7" e="0"/>
        <item x="8" e="0"/>
        <item x="9" e="0"/>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1">
    <i>
      <x/>
    </i>
    <i>
      <x v="1"/>
    </i>
    <i>
      <x v="2"/>
    </i>
    <i>
      <x v="3"/>
    </i>
    <i>
      <x v="4"/>
    </i>
    <i>
      <x v="5"/>
    </i>
    <i>
      <x v="6"/>
    </i>
    <i>
      <x v="7"/>
    </i>
    <i>
      <x v="8"/>
    </i>
    <i>
      <x v="9"/>
    </i>
    <i t="grand">
      <x/>
    </i>
  </rowItems>
  <colItems count="1">
    <i/>
  </colItems>
  <dataFields count="1">
    <dataField fld="0" subtotal="count" baseField="0" baseItem="0"/>
  </dataFields>
  <chartFormats count="2">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5"/>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Apri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E10AB5-E3D7-4CDB-9D85-A58E951BF5DF}" name="Average_Cycle_Days_Won VS Lost" cacheId="4" applyNumberFormats="0" applyBorderFormats="0" applyFontFormats="0" applyPatternFormats="0" applyAlignmentFormats="0" applyWidthHeightFormats="1" dataCaption="Values" tag="fd383c71-5a86-44ca-acc6-6e5b898120b5" updatedVersion="8" minRefreshableVersion="3" useAutoFormatting="1" itemPrintTitles="1" createdVersion="8" indent="0" outline="1" outlineData="1" multipleFieldFilters="0" chartFormat="11">
  <location ref="F11:G14"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1754AD-447F-4EC6-8A2C-DCE0AFC9937E}" name="Opportunity Count by deal stages" cacheId="0" applyNumberFormats="0" applyBorderFormats="0" applyFontFormats="0" applyPatternFormats="0" applyAlignmentFormats="0" applyWidthHeightFormats="1" dataCaption="Values" tag="13930907-e1ee-42f1-be5a-cd8fe155901e" updatedVersion="8" minRefreshableVersion="3" useAutoFormatting="1" subtotalHiddenItems="1" itemPrintTitles="1" createdVersion="8" indent="0" outline="1" outlineData="1" multipleFieldFilters="0" chartFormat="16">
  <location ref="F44:G4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pportunity_id" fld="1" subtotal="count" showDataAs="percentOfTotal" baseField="0" baseItem="0" numFmtId="1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E3491F-4B35-445D-BCC3-EE2BC198555F}" name="KPI " cacheId="6" applyNumberFormats="0" applyBorderFormats="0" applyFontFormats="0" applyPatternFormats="0" applyAlignmentFormats="0" applyWidthHeightFormats="1" dataCaption="Values" tag="939684c3-8a4b-4758-83bf-66d40db362cc" updatedVersion="8" minRefreshableVersion="3" useAutoFormatting="1"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Sales_Pipeline]"/>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508E67-7BEB-448D-8673-F147ADD8CDB9}" name="Sales_Agent_Table" cacheId="5" applyNumberFormats="0" applyBorderFormats="0" applyFontFormats="0" applyPatternFormats="0" applyAlignmentFormats="0" applyWidthHeightFormats="1" dataCaption="Values" tag="e45c2f23-785f-4228-b705-9fda9c2ad196" updatedVersion="8" minRefreshableVersion="3" useAutoFormatting="1" itemPrintTitles="1" createdVersion="8" indent="0" outline="1" outlineData="1" multipleFieldFilters="0">
  <location ref="B52:G63" firstHeaderRow="0" firstDataRow="1" firstDataCol="1"/>
  <pivotFields count="8">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8"/>
    </i>
    <i>
      <x v="6"/>
    </i>
    <i>
      <x/>
    </i>
    <i>
      <x v="4"/>
    </i>
    <i>
      <x v="7"/>
    </i>
    <i>
      <x v="9"/>
    </i>
    <i>
      <x v="1"/>
    </i>
    <i>
      <x v="5"/>
    </i>
    <i>
      <x v="2"/>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name="Avg_Sales_Cycle" fld="4" subtotal="count" baseField="0" baseItem="3"/>
    <dataField name="Avg_Deal_Value" fld="5" subtotal="count" baseField="0" baseItem="3"/>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Month].&amp;[Septembe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Avg_Deal_Value"/>
    <pivotHierarchy dragToRow="0" dragToCol="0" dragToPage="0" dragToData="1"/>
    <pivotHierarchy dragToRow="0" dragToCol="0" dragToPage="0" dragToData="1" caption="Avg_Sales_Cycl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249CBAA1-5830-4EA9-BAF9-A3831902CC44}" sourceName="[Sales_Team].[regional_office]">
  <pivotTables>
    <pivotTable tabId="2" name="Opportunity Count by deal stages"/>
    <pivotTable tabId="2" name="Revenue Trend"/>
    <pivotTable tabId="2" name="Sales by Product"/>
    <pivotTable tabId="2" name="Sales by Top Clients"/>
    <pivotTable tabId="2" name="Average_Cycle_Days_Won VS Lost"/>
    <pivotTable tabId="2" name="Sales_Agent_Table"/>
    <pivotTable tabId="2" name="KPI "/>
    <pivotTable tabId="2" name="Won_Deals"/>
    <pivotTable tabId="2" name="Total_Sales"/>
    <pivotTable tabId="2" name="Total_Deals"/>
    <pivotTable tabId="2" name="Win_Rate%"/>
    <pivotTable tabId="2" name="Average_Sales_Cycle"/>
  </pivotTables>
  <data>
    <olap pivotCacheId="1877685591">
      <levels count="2">
        <level uniqueName="[Sales_Team].[regional_office].[(All)]" sourceCaption="(All)" count="0"/>
        <level uniqueName="[Sales_Team].[regional_office].[regional_office]" sourceCaption="regional_office" count="3">
          <ranges>
            <range startItem="0">
              <i n="[Sales_Team].[regional_office].&amp;[Central]" c="Central"/>
              <i n="[Sales_Team].[regional_office].&amp;[East]" c="East"/>
              <i n="[Sales_Team].[regional_office].&amp;[West]" c="West"/>
            </range>
          </ranges>
        </level>
      </levels>
      <selections count="1">
        <selection n="[Sales_Team].[regional_off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ort" xr10:uid="{BC2B48B8-E8D0-412B-AD75-EBB90B668BB4}" sourceName="[Date].[Month_Sort]">
  <pivotTables>
    <pivotTable tabId="2" name="Average_Cycle_Days_Won VS Lost"/>
    <pivotTable tabId="2" name="Average_Sales_Cycle"/>
    <pivotTable tabId="2" name="KPI "/>
    <pivotTable tabId="2" name="Opportunity Count by deal stages"/>
    <pivotTable tabId="2" name="Sales by Product"/>
    <pivotTable tabId="2" name="Sales by Top Clients"/>
    <pivotTable tabId="2" name="Sales_Agent_Table"/>
    <pivotTable tabId="2" name="Total_Deals"/>
    <pivotTable tabId="2" name="Total_Sales"/>
    <pivotTable tabId="2" name="Win_Rate%"/>
    <pivotTable tabId="2" name="Won_Deals"/>
  </pivotTables>
  <data>
    <olap pivotCacheId="1877685591">
      <levels count="2">
        <level uniqueName="[Date].[Month_Sort].[(All)]" sourceCaption="(All)" count="0"/>
        <level uniqueName="[Date].[Month_Sort].[Month_Sort]" sourceCaption="Month_Sort" count="11">
          <ranges>
            <range startItem="0">
              <i n="[Date].[Month_Sort].&amp;[03 - March]" c="03 - March"/>
              <i n="[Date].[Month_Sort].&amp;[04 - April]" c="04 - April"/>
              <i n="[Date].[Month_Sort].&amp;[05 - May]" c="05 - May"/>
              <i n="[Date].[Month_Sort].&amp;[06 - June]" c="06 - June"/>
              <i n="[Date].[Month_Sort].&amp;[07 - July]" c="07 - July"/>
              <i n="[Date].[Month_Sort].&amp;[08 - August]" c="08 - August"/>
              <i n="[Date].[Month_Sort].&amp;[09 - September]" c="09 - September"/>
              <i n="[Date].[Month_Sort].&amp;[10 - October]" c="10 - October"/>
              <i n="[Date].[Month_Sort].&amp;[11 - November]" c="11 - November"/>
              <i n="[Date].[Month_Sort].&amp;[12 - December]" c="12 - December"/>
              <i n="[Date].[Month_Sort].&amp;" c="(blank)"/>
            </range>
          </ranges>
        </level>
      </levels>
      <selections count="1">
        <selection n="[Date].[Month_S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9F2AF682-8033-4277-95C3-659725667BCF}" cache="Slicer_regional_office" caption="regional_office" level="1" style="SlicerStyleLight2" rowHeight="234950"/>
  <slicer name="Month_Sort" xr10:uid="{EF2A963A-0AF2-406E-9335-7910EB95D5F0}" cache="Slicer_Month_Sort" caption="Month_Sort"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F7751-786F-4306-917E-5E95EE1A4F08}">
  <dimension ref="N23:S35"/>
  <sheetViews>
    <sheetView showGridLines="0" tabSelected="1" zoomScale="76" zoomScaleNormal="76" workbookViewId="0">
      <selection activeCell="E7" sqref="E7"/>
    </sheetView>
  </sheetViews>
  <sheetFormatPr defaultRowHeight="14.4" x14ac:dyDescent="0.3"/>
  <cols>
    <col min="14" max="14" width="19.21875" bestFit="1" customWidth="1"/>
    <col min="15" max="15" width="10.88671875" bestFit="1" customWidth="1"/>
    <col min="16" max="16" width="11.109375" bestFit="1" customWidth="1"/>
    <col min="17" max="17" width="12.21875" bestFit="1" customWidth="1"/>
    <col min="18" max="18" width="15.33203125" bestFit="1" customWidth="1"/>
    <col min="19" max="19" width="15.21875" bestFit="1" customWidth="1"/>
  </cols>
  <sheetData>
    <row r="23" spans="14:19" ht="15" thickBot="1" x14ac:dyDescent="0.35"/>
    <row r="24" spans="14:19" ht="16.8" thickTop="1" thickBot="1" x14ac:dyDescent="0.35">
      <c r="N24" s="26" t="s">
        <v>28</v>
      </c>
      <c r="O24" s="27" t="str">
        <f>PivotTables!C52</f>
        <v>Total_Sales</v>
      </c>
      <c r="P24" s="27" t="str">
        <f>PivotTables!D52</f>
        <v>Won_ Deals</v>
      </c>
      <c r="Q24" s="27" t="str">
        <f>PivotTables!E52</f>
        <v>Win_Rate%</v>
      </c>
      <c r="R24" s="27" t="str">
        <f>PivotTables!F52</f>
        <v>Avg_Sales_Cycle</v>
      </c>
      <c r="S24" s="28" t="str">
        <f>PivotTables!G52</f>
        <v>Avg_Deal_Value</v>
      </c>
    </row>
    <row r="25" spans="14:19" ht="16.2" thickTop="1" x14ac:dyDescent="0.3">
      <c r="N25" s="20" t="str">
        <f>PivotTables!B53</f>
        <v>Darcel Schlecht</v>
      </c>
      <c r="O25" s="21">
        <f>PivotTables!C53</f>
        <v>1153214</v>
      </c>
      <c r="P25" s="22">
        <f>PivotTables!D53</f>
        <v>349</v>
      </c>
      <c r="Q25" s="23">
        <f>PivotTables!E53</f>
        <v>0.46720214190093706</v>
      </c>
      <c r="R25" s="24">
        <f>PivotTables!F53</f>
        <v>45.842676311030743</v>
      </c>
      <c r="S25" s="25">
        <f>PivotTables!G53</f>
        <v>3304.3381088825213</v>
      </c>
    </row>
    <row r="26" spans="14:19" ht="15.6" x14ac:dyDescent="0.3">
      <c r="N26" s="12" t="str">
        <f>PivotTables!B54</f>
        <v>Vicki Laflamme</v>
      </c>
      <c r="O26" s="11">
        <f>PivotTables!C54</f>
        <v>478396</v>
      </c>
      <c r="P26" s="8">
        <f>PivotTables!D54</f>
        <v>221</v>
      </c>
      <c r="Q26" s="9">
        <f>PivotTables!E54</f>
        <v>0.49002217294900224</v>
      </c>
      <c r="R26" s="10">
        <f>PivotTables!F54</f>
        <v>46.556195965417871</v>
      </c>
      <c r="S26" s="13">
        <f>PivotTables!G54</f>
        <v>2164.6877828054298</v>
      </c>
    </row>
    <row r="27" spans="14:19" ht="15.6" x14ac:dyDescent="0.3">
      <c r="N27" s="12" t="str">
        <f>PivotTables!B55</f>
        <v>Kary Hendrixson</v>
      </c>
      <c r="O27" s="11">
        <f>PivotTables!C55</f>
        <v>454298</v>
      </c>
      <c r="P27" s="8">
        <f>PivotTables!D55</f>
        <v>209</v>
      </c>
      <c r="Q27" s="9">
        <f>PivotTables!E55</f>
        <v>0.4771689497716895</v>
      </c>
      <c r="R27" s="10">
        <f>PivotTables!F55</f>
        <v>49.850746268656714</v>
      </c>
      <c r="S27" s="13">
        <f>PivotTables!G55</f>
        <v>2173.6746411483255</v>
      </c>
    </row>
    <row r="28" spans="14:19" ht="15.6" x14ac:dyDescent="0.3">
      <c r="N28" s="12" t="str">
        <f>PivotTables!B56</f>
        <v>Cassey Cress</v>
      </c>
      <c r="O28" s="11">
        <f>PivotTables!C56</f>
        <v>450489</v>
      </c>
      <c r="P28" s="8">
        <f>PivotTables!D56</f>
        <v>163</v>
      </c>
      <c r="Q28" s="9">
        <f>PivotTables!E56</f>
        <v>0.47109826589595377</v>
      </c>
      <c r="R28" s="10">
        <f>PivotTables!F56</f>
        <v>45.961685823754792</v>
      </c>
      <c r="S28" s="13">
        <f>PivotTables!G56</f>
        <v>2763.7361963190183</v>
      </c>
    </row>
    <row r="29" spans="14:19" ht="15.6" x14ac:dyDescent="0.3">
      <c r="N29" s="12" t="str">
        <f>PivotTables!B57</f>
        <v>Donn Cantrell</v>
      </c>
      <c r="O29" s="11">
        <f>PivotTables!C57</f>
        <v>445860</v>
      </c>
      <c r="P29" s="8">
        <f>PivotTables!D57</f>
        <v>158</v>
      </c>
      <c r="Q29" s="9">
        <f>PivotTables!E57</f>
        <v>0.57454545454545458</v>
      </c>
      <c r="R29" s="10">
        <f>PivotTables!F57</f>
        <v>48.93090909090909</v>
      </c>
      <c r="S29" s="13">
        <f>PivotTables!G57</f>
        <v>2821.8987341772154</v>
      </c>
    </row>
    <row r="30" spans="14:19" ht="15.6" x14ac:dyDescent="0.3">
      <c r="N30" s="12" t="str">
        <f>PivotTables!B58</f>
        <v>Reed Clapper</v>
      </c>
      <c r="O30" s="11">
        <f>PivotTables!C58</f>
        <v>438336</v>
      </c>
      <c r="P30" s="8">
        <f>PivotTables!D58</f>
        <v>155</v>
      </c>
      <c r="Q30" s="9">
        <f>PivotTables!E58</f>
        <v>0.65400843881856541</v>
      </c>
      <c r="R30" s="10">
        <f>PivotTables!F58</f>
        <v>44.565400843881854</v>
      </c>
      <c r="S30" s="13">
        <f>PivotTables!G58</f>
        <v>2827.9741935483871</v>
      </c>
    </row>
    <row r="31" spans="14:19" ht="15.6" x14ac:dyDescent="0.3">
      <c r="N31" s="12" t="str">
        <f>PivotTables!B59</f>
        <v>Zane Levy</v>
      </c>
      <c r="O31" s="11">
        <f>PivotTables!C59</f>
        <v>430068</v>
      </c>
      <c r="P31" s="8">
        <f>PivotTables!D59</f>
        <v>161</v>
      </c>
      <c r="Q31" s="9">
        <f>PivotTables!E59</f>
        <v>0.46131805157593125</v>
      </c>
      <c r="R31" s="10">
        <f>PivotTables!F59</f>
        <v>44.413793103448278</v>
      </c>
      <c r="S31" s="13">
        <f>PivotTables!G59</f>
        <v>2671.2298136645963</v>
      </c>
    </row>
    <row r="32" spans="14:19" ht="15.6" x14ac:dyDescent="0.3">
      <c r="N32" s="12" t="str">
        <f>PivotTables!B60</f>
        <v>Corliss Cosme</v>
      </c>
      <c r="O32" s="11">
        <f>PivotTables!C60</f>
        <v>421036</v>
      </c>
      <c r="P32" s="8">
        <f>PivotTables!D60</f>
        <v>150</v>
      </c>
      <c r="Q32" s="9">
        <f>PivotTables!E60</f>
        <v>0.4838709677419355</v>
      </c>
      <c r="R32" s="10">
        <f>PivotTables!F60</f>
        <v>47.21834061135371</v>
      </c>
      <c r="S32" s="13">
        <f>PivotTables!G60</f>
        <v>2806.9066666666668</v>
      </c>
    </row>
    <row r="33" spans="14:19" ht="15.6" x14ac:dyDescent="0.3">
      <c r="N33" s="12" t="str">
        <f>PivotTables!B61</f>
        <v>James Ascencio</v>
      </c>
      <c r="O33" s="11">
        <f>PivotTables!C61</f>
        <v>413533</v>
      </c>
      <c r="P33" s="8">
        <f>PivotTables!D61</f>
        <v>135</v>
      </c>
      <c r="Q33" s="9">
        <f>PivotTables!E61</f>
        <v>0.5056179775280899</v>
      </c>
      <c r="R33" s="10">
        <f>PivotTables!F61</f>
        <v>50.485436893203882</v>
      </c>
      <c r="S33" s="13">
        <f>PivotTables!G61</f>
        <v>3063.2074074074076</v>
      </c>
    </row>
    <row r="34" spans="14:19" ht="16.2" thickBot="1" x14ac:dyDescent="0.35">
      <c r="N34" s="14" t="str">
        <f>PivotTables!B62</f>
        <v>Daniell Hammack</v>
      </c>
      <c r="O34" s="15">
        <f>PivotTables!C62</f>
        <v>364229</v>
      </c>
      <c r="P34" s="16">
        <f>PivotTables!D62</f>
        <v>114</v>
      </c>
      <c r="Q34" s="17">
        <f>PivotTables!E62</f>
        <v>0.44015444015444016</v>
      </c>
      <c r="R34" s="18">
        <f>PivotTables!F62</f>
        <v>44.860962566844918</v>
      </c>
      <c r="S34" s="19">
        <f>PivotTables!G62</f>
        <v>3194.9912280701756</v>
      </c>
    </row>
    <row r="35" spans="14:19" ht="15" thickTop="1" x14ac:dyDescent="0.3"/>
  </sheetData>
  <conditionalFormatting sqref="O25:O34">
    <cfRule type="dataBar" priority="5">
      <dataBar>
        <cfvo type="min"/>
        <cfvo type="max"/>
        <color rgb="FF63C384"/>
      </dataBar>
      <extLst>
        <ext xmlns:x14="http://schemas.microsoft.com/office/spreadsheetml/2009/9/main" uri="{B025F937-C7B1-47D3-B67F-A62EFF666E3E}">
          <x14:id>{8DB9200F-B172-45FD-9408-5914FAF250DA}</x14:id>
        </ext>
      </extLst>
    </cfRule>
  </conditionalFormatting>
  <conditionalFormatting sqref="P25:P34">
    <cfRule type="dataBar" priority="4">
      <dataBar>
        <cfvo type="min"/>
        <cfvo type="max"/>
        <color rgb="FF63C384"/>
      </dataBar>
      <extLst>
        <ext xmlns:x14="http://schemas.microsoft.com/office/spreadsheetml/2009/9/main" uri="{B025F937-C7B1-47D3-B67F-A62EFF666E3E}">
          <x14:id>{79EE42D8-3823-4BE9-987E-5775965875C1}</x14:id>
        </ext>
      </extLst>
    </cfRule>
  </conditionalFormatting>
  <conditionalFormatting sqref="Q25:Q34">
    <cfRule type="colorScale" priority="3">
      <colorScale>
        <cfvo type="min"/>
        <cfvo type="percentile" val="50"/>
        <cfvo type="max"/>
        <color rgb="FFF8696B"/>
        <color rgb="FFFFEB84"/>
        <color rgb="FF63BE7B"/>
      </colorScale>
    </cfRule>
  </conditionalFormatting>
  <conditionalFormatting sqref="R25:R34">
    <cfRule type="colorScale" priority="2">
      <colorScale>
        <cfvo type="min"/>
        <cfvo type="percentile" val="50"/>
        <cfvo type="max"/>
        <color rgb="FF63BE7B"/>
        <color rgb="FFFFEB84"/>
        <color rgb="FFF8696B"/>
      </colorScale>
    </cfRule>
  </conditionalFormatting>
  <conditionalFormatting sqref="S25:S34">
    <cfRule type="colorScale" priority="1">
      <colorScale>
        <cfvo type="min"/>
        <cfvo type="max"/>
        <color rgb="FFFFEF9C"/>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DB9200F-B172-45FD-9408-5914FAF250DA}">
            <x14:dataBar minLength="0" maxLength="100" border="1" negativeBarBorderColorSameAsPositive="0">
              <x14:cfvo type="autoMin"/>
              <x14:cfvo type="autoMax"/>
              <x14:borderColor rgb="FF63C384"/>
              <x14:negativeFillColor rgb="FFFF0000"/>
              <x14:negativeBorderColor rgb="FFFF0000"/>
              <x14:axisColor rgb="FF000000"/>
            </x14:dataBar>
          </x14:cfRule>
          <xm:sqref>O25:O34</xm:sqref>
        </x14:conditionalFormatting>
        <x14:conditionalFormatting xmlns:xm="http://schemas.microsoft.com/office/excel/2006/main">
          <x14:cfRule type="dataBar" id="{79EE42D8-3823-4BE9-987E-5775965875C1}">
            <x14:dataBar minLength="0" maxLength="100" border="1" negativeBarBorderColorSameAsPositive="0">
              <x14:cfvo type="autoMin"/>
              <x14:cfvo type="autoMax"/>
              <x14:borderColor rgb="FF63C384"/>
              <x14:negativeFillColor rgb="FFFF0000"/>
              <x14:negativeBorderColor rgb="FFFF0000"/>
              <x14:axisColor rgb="FF000000"/>
            </x14:dataBar>
          </x14:cfRule>
          <xm:sqref>P25:P34</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5F77-C675-44C4-BB47-8372B7D424DC}">
  <dimension ref="B5:M68"/>
  <sheetViews>
    <sheetView workbookViewId="0">
      <selection activeCell="C11" sqref="C11"/>
    </sheetView>
  </sheetViews>
  <sheetFormatPr defaultRowHeight="14.4" x14ac:dyDescent="0.3"/>
  <cols>
    <col min="1" max="1" width="17.6640625" bestFit="1" customWidth="1"/>
    <col min="2" max="2" width="10.88671875" bestFit="1" customWidth="1"/>
    <col min="3" max="3" width="12.6640625" bestFit="1" customWidth="1"/>
    <col min="4" max="4" width="10.44140625" bestFit="1" customWidth="1"/>
    <col min="5" max="5" width="10.5546875" bestFit="1" customWidth="1"/>
    <col min="6" max="6" width="11.109375" bestFit="1" customWidth="1"/>
    <col min="7" max="7" width="14.77734375" bestFit="1" customWidth="1"/>
    <col min="8" max="8" width="10.5546875" bestFit="1" customWidth="1"/>
    <col min="9" max="9" width="12.6640625" bestFit="1" customWidth="1"/>
    <col min="10" max="10" width="18.77734375" bestFit="1" customWidth="1"/>
    <col min="11" max="11" width="11.109375" bestFit="1" customWidth="1"/>
    <col min="12" max="12" width="12.5546875" bestFit="1" customWidth="1"/>
    <col min="13" max="13" width="12.6640625" bestFit="1" customWidth="1"/>
    <col min="14" max="133" width="10.109375" bestFit="1" customWidth="1"/>
    <col min="134" max="134" width="9.77734375" bestFit="1" customWidth="1"/>
    <col min="135" max="143" width="10.109375" bestFit="1" customWidth="1"/>
    <col min="144" max="144" width="9.77734375" bestFit="1" customWidth="1"/>
    <col min="145" max="185" width="10.109375" bestFit="1" customWidth="1"/>
    <col min="186" max="186" width="9.77734375" bestFit="1" customWidth="1"/>
    <col min="187" max="221" width="10.109375" bestFit="1" customWidth="1"/>
    <col min="222" max="222" width="9.77734375" bestFit="1" customWidth="1"/>
    <col min="223" max="225" width="10.109375" bestFit="1" customWidth="1"/>
    <col min="226" max="247" width="10.77734375" bestFit="1" customWidth="1"/>
    <col min="248" max="256" width="10.109375" bestFit="1" customWidth="1"/>
    <col min="257" max="277" width="10.77734375" bestFit="1" customWidth="1"/>
    <col min="278" max="286" width="10.109375" bestFit="1" customWidth="1"/>
    <col min="287" max="308" width="10.77734375" bestFit="1" customWidth="1"/>
    <col min="309" max="309" width="13.77734375" bestFit="1" customWidth="1"/>
  </cols>
  <sheetData>
    <row r="5" spans="2:7" x14ac:dyDescent="0.3">
      <c r="B5" t="s">
        <v>0</v>
      </c>
    </row>
    <row r="6" spans="2:7" x14ac:dyDescent="0.3">
      <c r="B6" s="1">
        <v>10005534</v>
      </c>
    </row>
    <row r="10" spans="2:7" x14ac:dyDescent="0.3">
      <c r="B10" s="4" t="s">
        <v>15</v>
      </c>
      <c r="C10" t="s">
        <v>0</v>
      </c>
    </row>
    <row r="11" spans="2:7" x14ac:dyDescent="0.3">
      <c r="B11" s="5" t="s">
        <v>5</v>
      </c>
      <c r="C11" s="1">
        <v>1134672</v>
      </c>
      <c r="F11" s="4" t="s">
        <v>15</v>
      </c>
      <c r="G11" t="s">
        <v>27</v>
      </c>
    </row>
    <row r="12" spans="2:7" x14ac:dyDescent="0.3">
      <c r="B12" s="5" t="s">
        <v>6</v>
      </c>
      <c r="C12" s="1">
        <v>721932</v>
      </c>
      <c r="F12" s="5" t="s">
        <v>25</v>
      </c>
      <c r="G12">
        <v>41.479175090982615</v>
      </c>
    </row>
    <row r="13" spans="2:7" x14ac:dyDescent="0.3">
      <c r="B13" s="5" t="s">
        <v>7</v>
      </c>
      <c r="C13" s="1">
        <v>1025713</v>
      </c>
      <c r="F13" s="5" t="s">
        <v>26</v>
      </c>
      <c r="G13">
        <v>51.781972628598396</v>
      </c>
    </row>
    <row r="14" spans="2:7" x14ac:dyDescent="0.3">
      <c r="B14" s="5" t="s">
        <v>8</v>
      </c>
      <c r="C14" s="1">
        <v>1338466</v>
      </c>
      <c r="F14" s="5" t="s">
        <v>4</v>
      </c>
      <c r="G14">
        <v>47.985397109223662</v>
      </c>
    </row>
    <row r="15" spans="2:7" x14ac:dyDescent="0.3">
      <c r="B15" s="5" t="s">
        <v>9</v>
      </c>
      <c r="C15" s="1">
        <v>696932</v>
      </c>
    </row>
    <row r="16" spans="2:7" x14ac:dyDescent="0.3">
      <c r="B16" s="5" t="s">
        <v>10</v>
      </c>
      <c r="C16" s="1">
        <v>1050059</v>
      </c>
    </row>
    <row r="17" spans="2:13" x14ac:dyDescent="0.3">
      <c r="B17" s="5" t="s">
        <v>11</v>
      </c>
      <c r="C17" s="1">
        <v>1235264</v>
      </c>
    </row>
    <row r="18" spans="2:13" x14ac:dyDescent="0.3">
      <c r="B18" s="5" t="s">
        <v>12</v>
      </c>
      <c r="C18" s="1">
        <v>731980</v>
      </c>
    </row>
    <row r="19" spans="2:13" x14ac:dyDescent="0.3">
      <c r="B19" s="5" t="s">
        <v>13</v>
      </c>
      <c r="C19" s="1">
        <v>938943</v>
      </c>
    </row>
    <row r="20" spans="2:13" x14ac:dyDescent="0.3">
      <c r="B20" s="5" t="s">
        <v>14</v>
      </c>
      <c r="C20" s="1">
        <v>1131573</v>
      </c>
    </row>
    <row r="21" spans="2:13" x14ac:dyDescent="0.3">
      <c r="B21" s="5" t="s">
        <v>4</v>
      </c>
      <c r="C21" s="1">
        <v>10005534</v>
      </c>
    </row>
    <row r="26" spans="2:13" x14ac:dyDescent="0.3">
      <c r="L26" s="4" t="s">
        <v>15</v>
      </c>
      <c r="M26" t="s">
        <v>0</v>
      </c>
    </row>
    <row r="27" spans="2:13" x14ac:dyDescent="0.3">
      <c r="L27" s="5" t="s">
        <v>36</v>
      </c>
      <c r="M27" s="1">
        <v>341455</v>
      </c>
    </row>
    <row r="28" spans="2:13" x14ac:dyDescent="0.3">
      <c r="L28" s="5" t="s">
        <v>37</v>
      </c>
      <c r="M28" s="1">
        <v>269245</v>
      </c>
    </row>
    <row r="29" spans="2:13" x14ac:dyDescent="0.3">
      <c r="L29" s="5" t="s">
        <v>50</v>
      </c>
      <c r="M29" s="1">
        <v>206410</v>
      </c>
    </row>
    <row r="30" spans="2:13" x14ac:dyDescent="0.3">
      <c r="L30" s="5" t="s">
        <v>43</v>
      </c>
      <c r="M30" s="1">
        <v>198020</v>
      </c>
    </row>
    <row r="31" spans="2:13" x14ac:dyDescent="0.3">
      <c r="L31" s="5" t="s">
        <v>51</v>
      </c>
      <c r="M31" s="1">
        <v>194957</v>
      </c>
    </row>
    <row r="32" spans="2:13" x14ac:dyDescent="0.3">
      <c r="L32" s="5" t="s">
        <v>44</v>
      </c>
      <c r="M32" s="1">
        <v>182522</v>
      </c>
    </row>
    <row r="33" spans="2:13" x14ac:dyDescent="0.3">
      <c r="L33" s="5" t="s">
        <v>32</v>
      </c>
      <c r="M33" s="1">
        <v>176751</v>
      </c>
    </row>
    <row r="34" spans="2:13" x14ac:dyDescent="0.3">
      <c r="B34" s="4" t="s">
        <v>15</v>
      </c>
      <c r="C34" t="s">
        <v>0</v>
      </c>
      <c r="L34" s="5" t="s">
        <v>33</v>
      </c>
      <c r="M34" s="1">
        <v>170046</v>
      </c>
    </row>
    <row r="35" spans="2:13" x14ac:dyDescent="0.3">
      <c r="B35" s="5" t="s">
        <v>22</v>
      </c>
      <c r="C35" s="1">
        <v>43768</v>
      </c>
      <c r="L35" s="5" t="s">
        <v>45</v>
      </c>
      <c r="M35" s="1">
        <v>169357</v>
      </c>
    </row>
    <row r="36" spans="2:13" x14ac:dyDescent="0.3">
      <c r="B36" s="5" t="s">
        <v>16</v>
      </c>
      <c r="C36" s="1">
        <v>400612</v>
      </c>
      <c r="L36" s="5" t="s">
        <v>34</v>
      </c>
      <c r="M36" s="1">
        <v>164683</v>
      </c>
    </row>
    <row r="37" spans="2:13" x14ac:dyDescent="0.3">
      <c r="B37" s="5" t="s">
        <v>17</v>
      </c>
      <c r="C37" s="1">
        <v>499263</v>
      </c>
      <c r="L37" s="5" t="s">
        <v>4</v>
      </c>
      <c r="M37" s="1">
        <v>2073446</v>
      </c>
    </row>
    <row r="38" spans="2:13" x14ac:dyDescent="0.3">
      <c r="B38" s="5" t="s">
        <v>18</v>
      </c>
      <c r="C38" s="1">
        <v>705275</v>
      </c>
    </row>
    <row r="39" spans="2:13" x14ac:dyDescent="0.3">
      <c r="B39" s="5" t="s">
        <v>21</v>
      </c>
      <c r="C39" s="1">
        <v>2216387</v>
      </c>
    </row>
    <row r="40" spans="2:13" x14ac:dyDescent="0.3">
      <c r="B40" s="5" t="s">
        <v>19</v>
      </c>
      <c r="C40" s="1">
        <v>2629651</v>
      </c>
    </row>
    <row r="41" spans="2:13" x14ac:dyDescent="0.3">
      <c r="B41" s="5" t="s">
        <v>20</v>
      </c>
      <c r="C41" s="1">
        <v>3510578</v>
      </c>
    </row>
    <row r="42" spans="2:13" x14ac:dyDescent="0.3">
      <c r="B42" s="5" t="s">
        <v>4</v>
      </c>
      <c r="C42" s="1">
        <v>10005534</v>
      </c>
    </row>
    <row r="44" spans="2:13" x14ac:dyDescent="0.3">
      <c r="F44" s="4" t="s">
        <v>15</v>
      </c>
      <c r="G44" t="s">
        <v>23</v>
      </c>
    </row>
    <row r="45" spans="2:13" x14ac:dyDescent="0.3">
      <c r="F45" s="5" t="s">
        <v>24</v>
      </c>
      <c r="G45" s="6">
        <v>0.18056818181818182</v>
      </c>
    </row>
    <row r="46" spans="2:13" x14ac:dyDescent="0.3">
      <c r="F46" s="5" t="s">
        <v>25</v>
      </c>
      <c r="G46" s="6">
        <v>0.28102272727272726</v>
      </c>
    </row>
    <row r="47" spans="2:13" x14ac:dyDescent="0.3">
      <c r="F47" s="5" t="s">
        <v>31</v>
      </c>
      <c r="G47" s="6">
        <v>5.6818181818181816E-2</v>
      </c>
    </row>
    <row r="48" spans="2:13" x14ac:dyDescent="0.3">
      <c r="F48" s="5" t="s">
        <v>26</v>
      </c>
      <c r="G48" s="6">
        <v>0.48159090909090907</v>
      </c>
    </row>
    <row r="49" spans="2:7" x14ac:dyDescent="0.3">
      <c r="F49" s="5" t="s">
        <v>4</v>
      </c>
      <c r="G49" s="6">
        <v>1</v>
      </c>
    </row>
    <row r="52" spans="2:7" x14ac:dyDescent="0.3">
      <c r="B52" s="4" t="s">
        <v>15</v>
      </c>
      <c r="C52" t="s">
        <v>0</v>
      </c>
      <c r="D52" t="s">
        <v>1</v>
      </c>
      <c r="E52" t="s">
        <v>3</v>
      </c>
      <c r="F52" t="s">
        <v>29</v>
      </c>
      <c r="G52" t="s">
        <v>30</v>
      </c>
    </row>
    <row r="53" spans="2:7" x14ac:dyDescent="0.3">
      <c r="B53" s="5" t="s">
        <v>35</v>
      </c>
      <c r="C53" s="1">
        <v>1153214</v>
      </c>
      <c r="D53" s="2">
        <v>349</v>
      </c>
      <c r="E53" s="3">
        <v>0.46720214190093706</v>
      </c>
      <c r="F53">
        <v>45.842676311030743</v>
      </c>
      <c r="G53" s="1">
        <v>3304.3381088825213</v>
      </c>
    </row>
    <row r="54" spans="2:7" x14ac:dyDescent="0.3">
      <c r="B54" s="5" t="s">
        <v>46</v>
      </c>
      <c r="C54" s="1">
        <v>478396</v>
      </c>
      <c r="D54" s="2">
        <v>221</v>
      </c>
      <c r="E54" s="3">
        <v>0.49002217294900224</v>
      </c>
      <c r="F54">
        <v>46.556195965417871</v>
      </c>
      <c r="G54" s="1">
        <v>2164.6877828054298</v>
      </c>
    </row>
    <row r="55" spans="2:7" x14ac:dyDescent="0.3">
      <c r="B55" s="5" t="s">
        <v>47</v>
      </c>
      <c r="C55" s="1">
        <v>454298</v>
      </c>
      <c r="D55" s="2">
        <v>209</v>
      </c>
      <c r="E55" s="3">
        <v>0.4771689497716895</v>
      </c>
      <c r="F55">
        <v>49.850746268656714</v>
      </c>
      <c r="G55" s="1">
        <v>2173.6746411483255</v>
      </c>
    </row>
    <row r="56" spans="2:7" x14ac:dyDescent="0.3">
      <c r="B56" s="5" t="s">
        <v>38</v>
      </c>
      <c r="C56" s="1">
        <v>450489</v>
      </c>
      <c r="D56" s="2">
        <v>163</v>
      </c>
      <c r="E56" s="3">
        <v>0.47109826589595377</v>
      </c>
      <c r="F56">
        <v>45.961685823754792</v>
      </c>
      <c r="G56" s="1">
        <v>2763.7361963190183</v>
      </c>
    </row>
    <row r="57" spans="2:7" x14ac:dyDescent="0.3">
      <c r="B57" s="5" t="s">
        <v>39</v>
      </c>
      <c r="C57" s="1">
        <v>445860</v>
      </c>
      <c r="D57" s="2">
        <v>158</v>
      </c>
      <c r="E57" s="3">
        <v>0.57454545454545458</v>
      </c>
      <c r="F57">
        <v>48.93090909090909</v>
      </c>
      <c r="G57" s="1">
        <v>2821.8987341772154</v>
      </c>
    </row>
    <row r="58" spans="2:7" x14ac:dyDescent="0.3">
      <c r="B58" s="5" t="s">
        <v>40</v>
      </c>
      <c r="C58" s="1">
        <v>438336</v>
      </c>
      <c r="D58" s="2">
        <v>155</v>
      </c>
      <c r="E58" s="3">
        <v>0.65400843881856541</v>
      </c>
      <c r="F58">
        <v>44.565400843881854</v>
      </c>
      <c r="G58" s="1">
        <v>2827.9741935483871</v>
      </c>
    </row>
    <row r="59" spans="2:7" x14ac:dyDescent="0.3">
      <c r="B59" s="5" t="s">
        <v>48</v>
      </c>
      <c r="C59" s="1">
        <v>430068</v>
      </c>
      <c r="D59" s="2">
        <v>161</v>
      </c>
      <c r="E59" s="3">
        <v>0.46131805157593125</v>
      </c>
      <c r="F59">
        <v>44.413793103448278</v>
      </c>
      <c r="G59" s="1">
        <v>2671.2298136645963</v>
      </c>
    </row>
    <row r="60" spans="2:7" x14ac:dyDescent="0.3">
      <c r="B60" s="5" t="s">
        <v>41</v>
      </c>
      <c r="C60" s="1">
        <v>421036</v>
      </c>
      <c r="D60" s="2">
        <v>150</v>
      </c>
      <c r="E60" s="3">
        <v>0.4838709677419355</v>
      </c>
      <c r="F60">
        <v>47.21834061135371</v>
      </c>
      <c r="G60" s="1">
        <v>2806.9066666666668</v>
      </c>
    </row>
    <row r="61" spans="2:7" x14ac:dyDescent="0.3">
      <c r="B61" s="5" t="s">
        <v>49</v>
      </c>
      <c r="C61" s="1">
        <v>413533</v>
      </c>
      <c r="D61" s="2">
        <v>135</v>
      </c>
      <c r="E61" s="3">
        <v>0.5056179775280899</v>
      </c>
      <c r="F61">
        <v>50.485436893203882</v>
      </c>
      <c r="G61" s="1">
        <v>3063.2074074074076</v>
      </c>
    </row>
    <row r="62" spans="2:7" x14ac:dyDescent="0.3">
      <c r="B62" s="5" t="s">
        <v>42</v>
      </c>
      <c r="C62" s="1">
        <v>364229</v>
      </c>
      <c r="D62" s="2">
        <v>114</v>
      </c>
      <c r="E62" s="3">
        <v>0.44015444015444016</v>
      </c>
      <c r="F62">
        <v>44.860962566844918</v>
      </c>
      <c r="G62" s="1">
        <v>3194.9912280701756</v>
      </c>
    </row>
    <row r="63" spans="2:7" x14ac:dyDescent="0.3">
      <c r="B63" s="5" t="s">
        <v>4</v>
      </c>
      <c r="C63" s="1">
        <v>5049459</v>
      </c>
      <c r="D63" s="2">
        <v>1815</v>
      </c>
      <c r="E63" s="3">
        <v>0.49334058167980427</v>
      </c>
      <c r="F63">
        <v>46.839847803528194</v>
      </c>
      <c r="G63" s="1">
        <v>2782.0710743801651</v>
      </c>
    </row>
    <row r="67" spans="2:10" x14ac:dyDescent="0.3">
      <c r="B67" t="s">
        <v>1</v>
      </c>
      <c r="D67" t="s">
        <v>0</v>
      </c>
      <c r="F67" t="s">
        <v>2</v>
      </c>
      <c r="H67" t="s">
        <v>3</v>
      </c>
      <c r="J67" t="s">
        <v>27</v>
      </c>
    </row>
    <row r="68" spans="2:10" x14ac:dyDescent="0.3">
      <c r="B68" s="2">
        <v>4238</v>
      </c>
      <c r="D68" s="29">
        <v>10005534</v>
      </c>
      <c r="F68" s="2">
        <v>8800</v>
      </c>
      <c r="H68" s="3">
        <v>0.48159090909090907</v>
      </c>
      <c r="J68" s="7">
        <v>47.985397109223662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777C5337-190A-4FCB-B08B-412328188488}">
  <ds:schemaRefs/>
</ds:datastoreItem>
</file>

<file path=customXml/itemProps2.xml><?xml version="1.0" encoding="utf-8"?>
<ds:datastoreItem xmlns:ds="http://schemas.openxmlformats.org/officeDocument/2006/customXml" ds:itemID="{55F4ECB9-54AF-48F8-8EFB-09DF41DDA081}">
  <ds:schemaRefs/>
</ds:datastoreItem>
</file>

<file path=customXml/itemProps3.xml><?xml version="1.0" encoding="utf-8"?>
<ds:datastoreItem xmlns:ds="http://schemas.openxmlformats.org/officeDocument/2006/customXml" ds:itemID="{AF3720D1-9603-408E-9819-87DD3A4E8F8D}">
  <ds:schemaRefs/>
</ds:datastoreItem>
</file>

<file path=customXml/itemProps4.xml><?xml version="1.0" encoding="utf-8"?>
<ds:datastoreItem xmlns:ds="http://schemas.openxmlformats.org/officeDocument/2006/customXml" ds:itemID="{D3AC29C7-74BD-4C31-B7C5-8BC0D80D1268}">
  <ds:schemaRefs/>
</ds:datastoreItem>
</file>

<file path=customXml/itemProps5.xml><?xml version="1.0" encoding="utf-8"?>
<ds:datastoreItem xmlns:ds="http://schemas.openxmlformats.org/officeDocument/2006/customXml" ds:itemID="{ADB3921A-5CAF-4794-B823-04523273281B}">
  <ds:schemaRefs/>
</ds:datastoreItem>
</file>

<file path=customXml/itemProps6.xml><?xml version="1.0" encoding="utf-8"?>
<ds:datastoreItem xmlns:ds="http://schemas.openxmlformats.org/officeDocument/2006/customXml" ds:itemID="{B5CDB71E-6E74-477B-8BD1-54A510E28949}">
  <ds:schemaRefs/>
</ds:datastoreItem>
</file>

<file path=customXml/itemProps7.xml><?xml version="1.0" encoding="utf-8"?>
<ds:datastoreItem xmlns:ds="http://schemas.openxmlformats.org/officeDocument/2006/customXml" ds:itemID="{E4CA4470-A0FC-47C6-913F-B22CF7C56282}">
  <ds:schemaRefs/>
</ds:datastoreItem>
</file>

<file path=customXml/itemProps8.xml><?xml version="1.0" encoding="utf-8"?>
<ds:datastoreItem xmlns:ds="http://schemas.openxmlformats.org/officeDocument/2006/customXml" ds:itemID="{0B66BCC9-0307-42BE-A8BD-08AE3A93AFEC}">
  <ds:schemaRefs/>
</ds:datastoreItem>
</file>

<file path=customXml/itemProps9.xml><?xml version="1.0" encoding="utf-8"?>
<ds:datastoreItem xmlns:ds="http://schemas.openxmlformats.org/officeDocument/2006/customXml" ds:itemID="{A4A65EA5-D130-44FC-BDEC-49696DF05F38}">
  <ds:schemaRefs/>
</ds:datastoreItem>
</file>

<file path=customXml/itemProps10.xml><?xml version="1.0" encoding="utf-8"?>
<ds:datastoreItem xmlns:ds="http://schemas.openxmlformats.org/officeDocument/2006/customXml" ds:itemID="{41E026A8-7E61-4392-9605-DF9EB4EA95AF}">
  <ds:schemaRefs/>
</ds:datastoreItem>
</file>

<file path=customXml/itemProps11.xml><?xml version="1.0" encoding="utf-8"?>
<ds:datastoreItem xmlns:ds="http://schemas.openxmlformats.org/officeDocument/2006/customXml" ds:itemID="{97C3566A-B6A0-4C56-A32E-D7380F32B367}">
  <ds:schemaRefs/>
</ds:datastoreItem>
</file>

<file path=customXml/itemProps12.xml><?xml version="1.0" encoding="utf-8"?>
<ds:datastoreItem xmlns:ds="http://schemas.openxmlformats.org/officeDocument/2006/customXml" ds:itemID="{174BFFD6-451C-4FD5-BC61-219C0DE2D515}">
  <ds:schemaRefs/>
</ds:datastoreItem>
</file>

<file path=customXml/itemProps13.xml><?xml version="1.0" encoding="utf-8"?>
<ds:datastoreItem xmlns:ds="http://schemas.openxmlformats.org/officeDocument/2006/customXml" ds:itemID="{6BF8E7DB-3502-4F8F-B67A-286457D2EBA4}">
  <ds:schemaRefs/>
</ds:datastoreItem>
</file>

<file path=customXml/itemProps14.xml><?xml version="1.0" encoding="utf-8"?>
<ds:datastoreItem xmlns:ds="http://schemas.openxmlformats.org/officeDocument/2006/customXml" ds:itemID="{D8A9F871-309D-418A-BED7-D0BFD65B39F3}">
  <ds:schemaRefs/>
</ds:datastoreItem>
</file>

<file path=customXml/itemProps15.xml><?xml version="1.0" encoding="utf-8"?>
<ds:datastoreItem xmlns:ds="http://schemas.openxmlformats.org/officeDocument/2006/customXml" ds:itemID="{87D8849F-3141-4365-B160-55ECC6A45AEF}">
  <ds:schemaRefs/>
</ds:datastoreItem>
</file>

<file path=customXml/itemProps16.xml><?xml version="1.0" encoding="utf-8"?>
<ds:datastoreItem xmlns:ds="http://schemas.openxmlformats.org/officeDocument/2006/customXml" ds:itemID="{FA80ADAF-F5B1-46F0-A892-ADA92863991B}">
  <ds:schemaRefs/>
</ds:datastoreItem>
</file>

<file path=customXml/itemProps17.xml><?xml version="1.0" encoding="utf-8"?>
<ds:datastoreItem xmlns:ds="http://schemas.openxmlformats.org/officeDocument/2006/customXml" ds:itemID="{C8BBEFDD-3047-48CD-9F26-0D8E74522CB1}">
  <ds:schemaRefs/>
</ds:datastoreItem>
</file>

<file path=customXml/itemProps18.xml><?xml version="1.0" encoding="utf-8"?>
<ds:datastoreItem xmlns:ds="http://schemas.openxmlformats.org/officeDocument/2006/customXml" ds:itemID="{01BD87E0-A0C7-4F97-B5ED-8ADC6BABCD18}">
  <ds:schemaRefs/>
</ds:datastoreItem>
</file>

<file path=customXml/itemProps19.xml><?xml version="1.0" encoding="utf-8"?>
<ds:datastoreItem xmlns:ds="http://schemas.openxmlformats.org/officeDocument/2006/customXml" ds:itemID="{0C8E9DE3-0792-45F6-B6DE-669E101289E9}">
  <ds:schemaRefs/>
</ds:datastoreItem>
</file>

<file path=customXml/itemProps20.xml><?xml version="1.0" encoding="utf-8"?>
<ds:datastoreItem xmlns:ds="http://schemas.openxmlformats.org/officeDocument/2006/customXml" ds:itemID="{B68359F2-CF43-4D8C-826D-4B7DD0342537}">
  <ds:schemaRefs/>
</ds:datastoreItem>
</file>

<file path=customXml/itemProps21.xml><?xml version="1.0" encoding="utf-8"?>
<ds:datastoreItem xmlns:ds="http://schemas.openxmlformats.org/officeDocument/2006/customXml" ds:itemID="{6E5BE90E-374A-43A7-AC06-CB789045170D}">
  <ds:schemaRefs>
    <ds:schemaRef ds:uri="http://schemas.microsoft.com/DataMashup"/>
  </ds:schemaRefs>
</ds:datastoreItem>
</file>

<file path=customXml/itemProps22.xml><?xml version="1.0" encoding="utf-8"?>
<ds:datastoreItem xmlns:ds="http://schemas.openxmlformats.org/officeDocument/2006/customXml" ds:itemID="{D9F15AF4-AEF1-4E83-B31E-917A12F83B7F}">
  <ds:schemaRefs/>
</ds:datastoreItem>
</file>

<file path=customXml/itemProps23.xml><?xml version="1.0" encoding="utf-8"?>
<ds:datastoreItem xmlns:ds="http://schemas.openxmlformats.org/officeDocument/2006/customXml" ds:itemID="{D3C1F057-647D-4071-B585-DB002F0C469A}">
  <ds:schemaRefs/>
</ds:datastoreItem>
</file>

<file path=customXml/itemProps24.xml><?xml version="1.0" encoding="utf-8"?>
<ds:datastoreItem xmlns:ds="http://schemas.openxmlformats.org/officeDocument/2006/customXml" ds:itemID="{ABF5B9B0-C989-4055-BB1E-0C6048039ADD}">
  <ds:schemaRefs/>
</ds:datastoreItem>
</file>

<file path=customXml/itemProps25.xml><?xml version="1.0" encoding="utf-8"?>
<ds:datastoreItem xmlns:ds="http://schemas.openxmlformats.org/officeDocument/2006/customXml" ds:itemID="{CBC57A3C-949A-4861-8245-A44DADD6CA5F}">
  <ds:schemaRefs/>
</ds:datastoreItem>
</file>

<file path=customXml/itemProps26.xml><?xml version="1.0" encoding="utf-8"?>
<ds:datastoreItem xmlns:ds="http://schemas.openxmlformats.org/officeDocument/2006/customXml" ds:itemID="{D04FB22B-4E38-4179-AD50-F3A7AAE09A70}">
  <ds:schemaRefs/>
</ds:datastoreItem>
</file>

<file path=customXml/itemProps27.xml><?xml version="1.0" encoding="utf-8"?>
<ds:datastoreItem xmlns:ds="http://schemas.openxmlformats.org/officeDocument/2006/customXml" ds:itemID="{B54A4B2E-47A8-433F-9894-66870655B64C}">
  <ds:schemaRefs/>
</ds:datastoreItem>
</file>

<file path=customXml/itemProps28.xml><?xml version="1.0" encoding="utf-8"?>
<ds:datastoreItem xmlns:ds="http://schemas.openxmlformats.org/officeDocument/2006/customXml" ds:itemID="{4F0CF601-1C84-422D-A059-4CE049A81AA0}">
  <ds:schemaRefs/>
</ds:datastoreItem>
</file>

<file path=customXml/itemProps29.xml><?xml version="1.0" encoding="utf-8"?>
<ds:datastoreItem xmlns:ds="http://schemas.openxmlformats.org/officeDocument/2006/customXml" ds:itemID="{11DB7349-E4E8-47BF-B981-A80D3CD88A53}">
  <ds:schemaRefs/>
</ds:datastoreItem>
</file>

<file path=customXml/itemProps30.xml><?xml version="1.0" encoding="utf-8"?>
<ds:datastoreItem xmlns:ds="http://schemas.openxmlformats.org/officeDocument/2006/customXml" ds:itemID="{48061A3E-F17E-4B5C-A296-EEA5F84F4B00}">
  <ds:schemaRefs/>
</ds:datastoreItem>
</file>

<file path=customXml/itemProps31.xml><?xml version="1.0" encoding="utf-8"?>
<ds:datastoreItem xmlns:ds="http://schemas.openxmlformats.org/officeDocument/2006/customXml" ds:itemID="{73A4EE2A-391E-4590-BA87-5D1CE4CEE4D0}">
  <ds:schemaRefs/>
</ds:datastoreItem>
</file>

<file path=customXml/itemProps32.xml><?xml version="1.0" encoding="utf-8"?>
<ds:datastoreItem xmlns:ds="http://schemas.openxmlformats.org/officeDocument/2006/customXml" ds:itemID="{F1F4D0CB-845F-4D21-9FEF-831A47508AA6}">
  <ds:schemaRefs/>
</ds:datastoreItem>
</file>

<file path=customXml/itemProps33.xml><?xml version="1.0" encoding="utf-8"?>
<ds:datastoreItem xmlns:ds="http://schemas.openxmlformats.org/officeDocument/2006/customXml" ds:itemID="{E11EA499-01E0-40BE-8494-9F23A39AC9B2}">
  <ds:schemaRefs/>
</ds:datastoreItem>
</file>

<file path=customXml/itemProps34.xml><?xml version="1.0" encoding="utf-8"?>
<ds:datastoreItem xmlns:ds="http://schemas.openxmlformats.org/officeDocument/2006/customXml" ds:itemID="{488CF214-651A-4B2D-8773-16C48798D7A1}">
  <ds:schemaRefs/>
</ds:datastoreItem>
</file>

<file path=customXml/itemProps35.xml><?xml version="1.0" encoding="utf-8"?>
<ds:datastoreItem xmlns:ds="http://schemas.openxmlformats.org/officeDocument/2006/customXml" ds:itemID="{E4CD8647-DFF9-4709-9E05-A0D7ED8AB1CA}">
  <ds:schemaRefs/>
</ds:datastoreItem>
</file>

<file path=customXml/itemProps36.xml><?xml version="1.0" encoding="utf-8"?>
<ds:datastoreItem xmlns:ds="http://schemas.openxmlformats.org/officeDocument/2006/customXml" ds:itemID="{5999AC0E-8BE9-4B9E-99DA-9B345A717402}">
  <ds:schemaRefs/>
</ds:datastoreItem>
</file>

<file path=customXml/itemProps37.xml><?xml version="1.0" encoding="utf-8"?>
<ds:datastoreItem xmlns:ds="http://schemas.openxmlformats.org/officeDocument/2006/customXml" ds:itemID="{15FF1A75-2935-4819-B7BE-B88E6927028E}">
  <ds:schemaRefs/>
</ds:datastoreItem>
</file>

<file path=customXml/itemProps38.xml><?xml version="1.0" encoding="utf-8"?>
<ds:datastoreItem xmlns:ds="http://schemas.openxmlformats.org/officeDocument/2006/customXml" ds:itemID="{C41CC91B-2203-49F7-B196-DF42AA6FBC19}">
  <ds:schemaRefs/>
</ds:datastoreItem>
</file>

<file path=customXml/itemProps39.xml><?xml version="1.0" encoding="utf-8"?>
<ds:datastoreItem xmlns:ds="http://schemas.openxmlformats.org/officeDocument/2006/customXml" ds:itemID="{964036AC-C22F-492E-B90E-0DD723774762}">
  <ds:schemaRefs/>
</ds:datastoreItem>
</file>

<file path=customXml/itemProps40.xml><?xml version="1.0" encoding="utf-8"?>
<ds:datastoreItem xmlns:ds="http://schemas.openxmlformats.org/officeDocument/2006/customXml" ds:itemID="{D9D1C78F-4084-4AD0-8C48-EEF7B16B1B0A}">
  <ds:schemaRefs/>
</ds:datastoreItem>
</file>

<file path=customXml/itemProps41.xml><?xml version="1.0" encoding="utf-8"?>
<ds:datastoreItem xmlns:ds="http://schemas.openxmlformats.org/officeDocument/2006/customXml" ds:itemID="{892E9BA9-2145-41D4-801F-5F4243E53E9D}">
  <ds:schemaRefs/>
</ds:datastoreItem>
</file>

<file path=customXml/itemProps42.xml><?xml version="1.0" encoding="utf-8"?>
<ds:datastoreItem xmlns:ds="http://schemas.openxmlformats.org/officeDocument/2006/customXml" ds:itemID="{685F3919-35F7-4B2D-A9E5-C1F9EB138AD3}">
  <ds:schemaRefs/>
</ds:datastoreItem>
</file>

<file path=customXml/itemProps43.xml><?xml version="1.0" encoding="utf-8"?>
<ds:datastoreItem xmlns:ds="http://schemas.openxmlformats.org/officeDocument/2006/customXml" ds:itemID="{C76A4FAF-0F6A-45BE-80BF-1054A0C988FF}">
  <ds:schemaRefs/>
</ds:datastoreItem>
</file>

<file path=customXml/itemProps44.xml><?xml version="1.0" encoding="utf-8"?>
<ds:datastoreItem xmlns:ds="http://schemas.openxmlformats.org/officeDocument/2006/customXml" ds:itemID="{92272CEF-511D-44E8-A008-B3F37BF3F7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Testuser</dc:creator>
  <cp:lastModifiedBy>Ijas Ahamed</cp:lastModifiedBy>
  <dcterms:created xsi:type="dcterms:W3CDTF">2015-06-05T18:17:20Z</dcterms:created>
  <dcterms:modified xsi:type="dcterms:W3CDTF">2026-07-13T08:40:35Z</dcterms:modified>
</cp:coreProperties>
</file>